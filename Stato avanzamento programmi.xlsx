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Ipotesi" sheetId="2" state="visible" r:id="rId2"/>
    <sheet name="Attività" sheetId="3" state="visible" r:id="rId3"/>
    <sheet name="Pianificazione" sheetId="4" state="visible" r:id="rId4"/>
    <sheet name="Bloccanti esterni" sheetId="5" state="visible" r:id="rId5"/>
  </sheets>
  <definedNames>
    <definedName name="_xlnm._FilterDatabase" localSheetId="0" hidden="1">'Riepilogo'!$A$1:$R$15</definedName>
    <definedName name="_xlnm._FilterDatabase" localSheetId="2" hidden="1">'Attività'!$A$1:$K$61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595959"/>
      <sz val="9"/>
    </font>
    <font>
      <name val="Arial"/>
      <i val="1"/>
      <sz val="9"/>
    </font>
    <font>
      <name val="Arial"/>
      <color theme="1"/>
    </font>
  </fonts>
  <fills count="4">
    <fill>
      <patternFill/>
    </fill>
    <fill>
      <patternFill patternType="gray125"/>
    </fill>
    <fill>
      <patternFill patternType="solid">
        <fgColor rgb="000C4577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9" fontId="4" fillId="3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 wrapText="1"/>
    </xf>
    <xf numFmtId="166" fontId="3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9" fontId="1" fillId="0" borderId="1" applyAlignment="1" pivotButton="0" quotePrefix="0" xfId="0">
      <alignment horizontal="center" vertical="top" wrapText="1"/>
    </xf>
    <xf numFmtId="3" fontId="1" fillId="0" borderId="1" applyAlignment="1" pivotButton="0" quotePrefix="0" xfId="0">
      <alignment horizontal="center" vertical="top" wrapText="1"/>
    </xf>
    <xf numFmtId="1" fontId="1" fillId="0" borderId="1" applyAlignment="1" pivotButton="0" quotePrefix="0" xfId="0">
      <alignment horizontal="center" vertical="top" wrapText="1"/>
    </xf>
    <xf numFmtId="165" fontId="1" fillId="0" borderId="1" applyAlignment="1" pivotButton="0" quotePrefix="0" xfId="0">
      <alignment horizontal="center" vertical="top" wrapText="1"/>
    </xf>
    <xf numFmtId="166" fontId="1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9" fontId="3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vertical="top"/>
    </xf>
    <xf numFmtId="165" fontId="4" fillId="3" borderId="1" applyAlignment="1" pivotButton="0" quotePrefix="0" xfId="0">
      <alignment vertical="top" wrapText="1"/>
    </xf>
    <xf numFmtId="1" fontId="4" fillId="3" borderId="1" applyAlignment="1" pivotButton="0" quotePrefix="0" xfId="0">
      <alignment vertical="top" wrapText="1"/>
    </xf>
    <xf numFmtId="2" fontId="4" fillId="3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166" fontId="4" fillId="3" borderId="1" applyAlignment="1" pivotButton="0" quotePrefix="0" xfId="0">
      <alignment horizontal="center" vertical="top" wrapText="1"/>
    </xf>
    <xf numFmtId="1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right"/>
    </xf>
    <xf numFmtId="0" fontId="7" fillId="0" borderId="5" pivotButton="0" quotePrefix="0" xfId="0"/>
    <xf numFmtId="0" fontId="7" fillId="0" borderId="6" pivotButton="0" quotePrefix="0" xfId="0"/>
    <xf numFmtId="0" fontId="6" fillId="0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G16" authorId="0" shapeId="0">
      <text>
        <t>Media pesata sulle righe di codice. La media semplice è nella cella sotto.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22" customWidth="1" min="4" max="4"/>
    <col width="9" customWidth="1" min="5" max="5"/>
    <col width="18" customWidth="1" min="6" max="6"/>
    <col width="9" customWidth="1" min="7" max="7"/>
    <col width="10" customWidth="1" min="8" max="8"/>
    <col width="8" customWidth="1" min="9" max="9"/>
    <col width="8" customWidth="1" min="10" max="10"/>
    <col width="12" customWidth="1" min="11" max="11"/>
    <col width="9" customWidth="1" min="12" max="12"/>
    <col width="10" customWidth="1" min="13" max="13"/>
    <col width="12" customWidth="1" min="14" max="14"/>
    <col width="11" customWidth="1" min="15" max="15"/>
    <col width="34" customWidth="1" min="16" max="16"/>
    <col width="12" customWidth="1" min="17" max="17"/>
    <col width="70" customWidth="1" min="18" max="18"/>
  </cols>
  <sheetData>
    <row r="1">
      <c r="A1" s="1" t="inlineStr">
        <is>
          <t>N.</t>
        </is>
      </c>
      <c r="B1" s="1" t="inlineStr">
        <is>
          <t>Programma</t>
        </is>
      </c>
      <c r="C1" s="1" t="inlineStr">
        <is>
          <t>Cartella</t>
        </is>
      </c>
      <c r="D1" s="1" t="inlineStr">
        <is>
          <t>Stack</t>
        </is>
      </c>
      <c r="E1" s="1" t="inlineStr">
        <is>
          <t>Porta</t>
        </is>
      </c>
      <c r="F1" s="1" t="inlineStr">
        <is>
          <t>Stato</t>
        </is>
      </c>
      <c r="G1" s="1" t="inlineStr">
        <is>
          <t>% avanz.</t>
        </is>
      </c>
      <c r="H1" s="1" t="inlineStr">
        <is>
          <t>Righe codice</t>
        </is>
      </c>
      <c r="I1" s="1" t="inlineStr">
        <is>
          <t>File test</t>
        </is>
      </c>
      <c r="J1" s="1" t="inlineStr">
        <is>
          <t>Commit</t>
        </is>
      </c>
      <c r="K1" s="1" t="inlineStr">
        <is>
          <t>Ultimo commit</t>
        </is>
      </c>
      <c r="L1" s="1" t="inlineStr">
        <is>
          <t>Attività aperte</t>
        </is>
      </c>
      <c r="M1" s="1" t="inlineStr">
        <is>
          <t>Giorni dev residui</t>
        </is>
      </c>
      <c r="N1" s="1" t="inlineStr">
        <is>
          <t>Giorni dev con contingenza</t>
        </is>
      </c>
      <c r="O1" s="1" t="inlineStr">
        <is>
          <t>Attesa esterna (gg cal.)</t>
        </is>
      </c>
      <c r="P1" s="1" t="inlineStr">
        <is>
          <t>Bloccanti esterni</t>
        </is>
      </c>
      <c r="Q1" s="1" t="inlineStr">
        <is>
          <t>Fine stimata</t>
        </is>
      </c>
      <c r="R1" s="1" t="inlineStr">
        <is>
          <t>Note</t>
        </is>
      </c>
    </row>
    <row r="2" ht="60" customHeight="1">
      <c r="A2" s="2" t="n">
        <v>1</v>
      </c>
      <c r="B2" s="3" t="inlineStr">
        <is>
          <t>Portale Suite</t>
        </is>
      </c>
      <c r="C2" s="4" t="inlineStr">
        <is>
          <t>portale/</t>
        </is>
      </c>
      <c r="D2" s="4" t="inlineStr">
        <is>
          <t>Node.js zero-dip</t>
        </is>
      </c>
      <c r="E2" s="2" t="inlineStr">
        <is>
          <t>8080</t>
        </is>
      </c>
      <c r="F2" s="2" t="inlineStr">
        <is>
          <t>In produzione</t>
        </is>
      </c>
      <c r="G2" s="5" t="n">
        <v>0.95</v>
      </c>
      <c r="H2" s="6" t="n">
        <v>7144</v>
      </c>
      <c r="I2" s="7" t="n">
        <v>2</v>
      </c>
      <c r="J2" s="7" t="n">
        <v>31</v>
      </c>
      <c r="K2" s="8" t="n">
        <v>46322</v>
      </c>
      <c r="L2" s="7">
        <f>COUNTIFS(Attività!$B$2:$B$61,$B2,Attività!$I$2:$I$61,"&lt;&gt;Fatto")</f>
        <v/>
      </c>
      <c r="M2" s="9">
        <f>SUMIFS(Attività!$F$2:$F$61,Attività!$B$2:$B$61,$B2,Attività!$I$2:$I$61,"&lt;&gt;Fatto")</f>
        <v/>
      </c>
      <c r="N2" s="9">
        <f>M2*Ipotesi!$B$6</f>
        <v/>
      </c>
      <c r="O2" s="7">
        <f>SUMIFS(Attività!$G$2:$G$61,Attività!$B$2:$B$61,$B2,Attività!$I$2:$I$61,"&lt;&gt;Fatto")</f>
        <v/>
      </c>
      <c r="P2" s="4" t="inlineStr">
        <is>
          <t>Caddy + DNS wildcard sul server (IT)</t>
        </is>
      </c>
      <c r="Q2" s="8">
        <f>IFERROR(INDEX(Pianificazione!$H:$H,MATCH($B2,Pianificazione!$B:$B,0)),"")</f>
        <v/>
      </c>
      <c r="R2" s="4" t="inlineStr">
        <is>
          <t>Login, avvio app, plancia admin 8090, SSO, avvisi, pre-warm. Sottodomini pronti (deploy/Caddyfile) ma non attivati sul server.</t>
        </is>
      </c>
    </row>
    <row r="3" ht="60" customHeight="1">
      <c r="A3" s="2" t="n">
        <v>2</v>
      </c>
      <c r="B3" s="3" t="inlineStr">
        <is>
          <t>Lettore DDT</t>
        </is>
      </c>
      <c r="C3" s="4" t="inlineStr">
        <is>
          <t>lettore-ddt/</t>
        </is>
      </c>
      <c r="D3" s="4" t="inlineStr">
        <is>
          <t>Node.js + TS + React</t>
        </is>
      </c>
      <c r="E3" s="2" t="inlineStr">
        <is>
          <t>5050</t>
        </is>
      </c>
      <c r="F3" s="2" t="inlineStr">
        <is>
          <t>In produzione</t>
        </is>
      </c>
      <c r="G3" s="5" t="n">
        <v>0.92</v>
      </c>
      <c r="H3" s="6" t="n">
        <v>24310</v>
      </c>
      <c r="I3" s="7" t="n">
        <v>15</v>
      </c>
      <c r="J3" s="7" t="n">
        <v>15</v>
      </c>
      <c r="K3" s="8" t="n">
        <v>46321</v>
      </c>
      <c r="L3" s="7">
        <f>COUNTIFS(Attività!$B$2:$B$61,$B3,Attività!$I$2:$I$61,"&lt;&gt;Fatto")</f>
        <v/>
      </c>
      <c r="M3" s="9">
        <f>SUMIFS(Attività!$F$2:$F$61,Attività!$B$2:$B$61,$B3,Attività!$I$2:$I$61,"&lt;&gt;Fatto")</f>
        <v/>
      </c>
      <c r="N3" s="9">
        <f>M3*Ipotesi!$B$6</f>
        <v/>
      </c>
      <c r="O3" s="7">
        <f>SUMIFS(Attività!$G$2:$G$61,Attività!$B$2:$B$61,$B3,Attività!$I$2:$I$61,"&lt;&gt;Fatto")</f>
        <v/>
      </c>
      <c r="P3" s="4" t="inlineStr">
        <is>
          <t>—</t>
        </is>
      </c>
      <c r="Q3" s="8">
        <f>IFERROR(INDEX(Pianificazione!$H:$H,MATCH($B3,Pianificazione!$B:$B,0)),"")</f>
        <v/>
      </c>
      <c r="R3" s="4" t="inlineStr">
        <is>
          <t>DDT da PDF a Excel, fornitori, WBS/SAL. CI completa (type-check, lint, coverage, e2e). Resta pulizia file inutilizzati e PR Dependabot.</t>
        </is>
      </c>
    </row>
    <row r="4" ht="60" customHeight="1">
      <c r="A4" s="2" t="n">
        <v>3</v>
      </c>
      <c r="B4" s="3" t="inlineStr">
        <is>
          <t>Analista Dati</t>
        </is>
      </c>
      <c r="C4" s="4" t="inlineStr">
        <is>
          <t>analista-dati/</t>
        </is>
      </c>
      <c r="D4" s="4" t="inlineStr">
        <is>
          <t>Node.js 24 + AI</t>
        </is>
      </c>
      <c r="E4" s="2" t="inlineStr">
        <is>
          <t>5173</t>
        </is>
      </c>
      <c r="F4" s="2" t="inlineStr">
        <is>
          <t>Beta avanzata</t>
        </is>
      </c>
      <c r="G4" s="5" t="n">
        <v>0.85</v>
      </c>
      <c r="H4" s="6" t="n">
        <v>16511</v>
      </c>
      <c r="I4" s="7" t="n">
        <v>16</v>
      </c>
      <c r="J4" s="7" t="n">
        <v>3</v>
      </c>
      <c r="K4" s="8" t="n">
        <v>46318</v>
      </c>
      <c r="L4" s="7">
        <f>COUNTIFS(Attività!$B$2:$B$61,$B4,Attività!$I$2:$I$61,"&lt;&gt;Fatto")</f>
        <v/>
      </c>
      <c r="M4" s="9">
        <f>SUMIFS(Attività!$F$2:$F$61,Attività!$B$2:$B$61,$B4,Attività!$I$2:$I$61,"&lt;&gt;Fatto")</f>
        <v/>
      </c>
      <c r="N4" s="9">
        <f>M4*Ipotesi!$B$6</f>
        <v/>
      </c>
      <c r="O4" s="7">
        <f>SUMIFS(Attività!$G$2:$G$61,Attività!$B$2:$B$61,$B4,Attività!$I$2:$I$61,"&lt;&gt;Fatto")</f>
        <v/>
      </c>
      <c r="P4" s="4" t="inlineStr">
        <is>
          <t>—</t>
        </is>
      </c>
      <c r="Q4" s="8">
        <f>IFERROR(INDEX(Pianificazione!$H:$H,MATCH($B4,Pianificazione!$B:$B,0)),"")</f>
        <v/>
      </c>
      <c r="R4" s="4" t="inlineStr">
        <is>
          <t>Domande sui dati con AI, agente operativo sulla suite, analisi documenti. Aperto: ReDoS su `xlsx` senza fix npm; streaming token.</t>
        </is>
      </c>
    </row>
    <row r="5" ht="60" customHeight="1">
      <c r="A5" s="2" t="n">
        <v>4</v>
      </c>
      <c r="B5" s="3" t="inlineStr">
        <is>
          <t>Confronto Documenti</t>
        </is>
      </c>
      <c r="C5" s="4" t="inlineStr">
        <is>
          <t>confronto-documenti/</t>
        </is>
      </c>
      <c r="D5" s="4" t="inlineStr">
        <is>
          <t>Python (Flask)</t>
        </is>
      </c>
      <c r="E5" s="2" t="inlineStr">
        <is>
          <t>5001</t>
        </is>
      </c>
      <c r="F5" s="2" t="inlineStr">
        <is>
          <t>In produzione</t>
        </is>
      </c>
      <c r="G5" s="5" t="n">
        <v>0.95</v>
      </c>
      <c r="H5" s="6" t="n">
        <v>5186</v>
      </c>
      <c r="I5" s="7" t="n">
        <v>1</v>
      </c>
      <c r="J5" s="7" t="n">
        <v>27</v>
      </c>
      <c r="K5" s="8" t="n">
        <v>46322</v>
      </c>
      <c r="L5" s="7">
        <f>COUNTIFS(Attività!$B$2:$B$61,$B5,Attività!$I$2:$I$61,"&lt;&gt;Fatto")</f>
        <v/>
      </c>
      <c r="M5" s="9">
        <f>SUMIFS(Attività!$F$2:$F$61,Attività!$B$2:$B$61,$B5,Attività!$I$2:$I$61,"&lt;&gt;Fatto")</f>
        <v/>
      </c>
      <c r="N5" s="9">
        <f>M5*Ipotesi!$B$6</f>
        <v/>
      </c>
      <c r="O5" s="7">
        <f>SUMIFS(Attività!$G$2:$G$61,Attività!$B$2:$B$61,$B5,Attività!$I$2:$I$61,"&lt;&gt;Fatto")</f>
        <v/>
      </c>
      <c r="P5" s="4" t="inlineStr">
        <is>
          <t>—</t>
        </is>
      </c>
      <c r="Q5" s="8">
        <f>IFERROR(INDEX(Pianificazione!$H:$H,MATCH($B5,Pianificazione!$B:$B,0)),"")</f>
        <v/>
      </c>
      <c r="R5" s="4" t="inlineStr">
        <is>
          <t>Differenze fra due documenti, OCR scansioni, storico 30 gg. Usato anche come motore da vfp-transfer.</t>
        </is>
      </c>
    </row>
    <row r="6" ht="60" customHeight="1">
      <c r="A6" s="2" t="n">
        <v>5</v>
      </c>
      <c r="B6" s="3" t="inlineStr">
        <is>
          <t>OCR Documenti</t>
        </is>
      </c>
      <c r="C6" s="4" t="inlineStr">
        <is>
          <t>ocr-documenti/</t>
        </is>
      </c>
      <c r="D6" s="4" t="inlineStr">
        <is>
          <t>Node.js + PaddleOCR</t>
        </is>
      </c>
      <c r="E6" s="2" t="inlineStr">
        <is>
          <t>5179</t>
        </is>
      </c>
      <c r="F6" s="2" t="inlineStr">
        <is>
          <t>Bloccato (WDAC)</t>
        </is>
      </c>
      <c r="G6" s="5" t="n">
        <v>0.8</v>
      </c>
      <c r="H6" s="6" t="n">
        <v>12392</v>
      </c>
      <c r="I6" s="7" t="n">
        <v>9</v>
      </c>
      <c r="J6" s="7" t="n">
        <v>4</v>
      </c>
      <c r="K6" s="8" t="n">
        <v>46318</v>
      </c>
      <c r="L6" s="7">
        <f>COUNTIFS(Attività!$B$2:$B$61,$B6,Attività!$I$2:$I$61,"&lt;&gt;Fatto")</f>
        <v/>
      </c>
      <c r="M6" s="9">
        <f>SUMIFS(Attività!$F$2:$F$61,Attività!$B$2:$B$61,$B6,Attività!$I$2:$I$61,"&lt;&gt;Fatto")</f>
        <v/>
      </c>
      <c r="N6" s="9">
        <f>M6*Ipotesi!$B$6</f>
        <v/>
      </c>
      <c r="O6" s="7">
        <f>SUMIFS(Attività!$G$2:$G$61,Attività!$B$2:$B$61,$B6,Attività!$I$2:$I$61,"&lt;&gt;Fatto")</f>
        <v/>
      </c>
      <c r="P6" s="4" t="inlineStr">
        <is>
          <t>Autorizzazione WDAC cartella programma (IT)</t>
        </is>
      </c>
      <c r="Q6" s="8">
        <f>IFERROR(INDEX(Pianificazione!$H:$H,MATCH($B6,Pianificazione!$B:$B,0)),"")</f>
        <v/>
      </c>
      <c r="R6" s="4" t="inlineStr">
        <is>
          <t>Testo da scansioni, estrazione contratti, Import_Contratti via Claude. Dal 31/08/2026 la policy App Control blocca le DLL Paddle: nessuna scansione finché l'IT non autorizza.</t>
        </is>
      </c>
    </row>
    <row r="7" ht="60" customHeight="1">
      <c r="A7" s="2" t="n">
        <v>6</v>
      </c>
      <c r="B7" s="3" t="inlineStr">
        <is>
          <t>Scadenzario</t>
        </is>
      </c>
      <c r="C7" s="4" t="inlineStr">
        <is>
          <t>scadenzario/</t>
        </is>
      </c>
      <c r="D7" s="4" t="inlineStr">
        <is>
          <t>Python (Flask)</t>
        </is>
      </c>
      <c r="E7" s="2" t="inlineStr">
        <is>
          <t>5180</t>
        </is>
      </c>
      <c r="F7" s="2" t="inlineStr">
        <is>
          <t>In produzione</t>
        </is>
      </c>
      <c r="G7" s="5" t="n">
        <v>0.9</v>
      </c>
      <c r="H7" s="6" t="n">
        <v>7035</v>
      </c>
      <c r="I7" s="7" t="n">
        <v>2</v>
      </c>
      <c r="J7" s="7" t="n">
        <v>10</v>
      </c>
      <c r="K7" s="8" t="n">
        <v>46318</v>
      </c>
      <c r="L7" s="7">
        <f>COUNTIFS(Attività!$B$2:$B$61,$B7,Attività!$I$2:$I$61,"&lt;&gt;Fatto")</f>
        <v/>
      </c>
      <c r="M7" s="9">
        <f>SUMIFS(Attività!$F$2:$F$61,Attività!$B$2:$B$61,$B7,Attività!$I$2:$I$61,"&lt;&gt;Fatto")</f>
        <v/>
      </c>
      <c r="N7" s="9">
        <f>M7*Ipotesi!$B$6</f>
        <v/>
      </c>
      <c r="O7" s="7">
        <f>SUMIFS(Attività!$G$2:$G$61,Attività!$B$2:$B$61,$B7,Attività!$I$2:$I$61,"&lt;&gt;Fatto")</f>
        <v/>
      </c>
      <c r="P7" s="4" t="inlineStr">
        <is>
          <t>Provider WhatsApp (decisione)</t>
        </is>
      </c>
      <c r="Q7" s="8">
        <f>IFERROR(INDEX(Pianificazione!$H:$H,MATCH($B7,Pianificazione!$B:$B,0)),"")</f>
        <v/>
      </c>
      <c r="R7" s="4" t="inlineStr">
        <is>
          <t>Scadenze e adempimenti, AI Act v1.3, import Excel, notifiche email. Roadmap: email ai referenti, WhatsApp reale, OCR attestati.</t>
        </is>
      </c>
    </row>
    <row r="8" ht="60" customHeight="1">
      <c r="A8" s="2" t="n">
        <v>7</v>
      </c>
      <c r="B8" s="3" t="inlineStr">
        <is>
          <t>Verifica Requisiti</t>
        </is>
      </c>
      <c r="C8" s="4" t="inlineStr">
        <is>
          <t>verifica-requisiti/</t>
        </is>
      </c>
      <c r="D8" s="4" t="inlineStr">
        <is>
          <t>Node.js + OCR</t>
        </is>
      </c>
      <c r="E8" s="2" t="inlineStr">
        <is>
          <t>5185</t>
        </is>
      </c>
      <c r="F8" s="2" t="inlineStr">
        <is>
          <t>Scheletro</t>
        </is>
      </c>
      <c r="G8" s="5" t="n">
        <v>0.45</v>
      </c>
      <c r="H8" s="6" t="n">
        <v>6100</v>
      </c>
      <c r="I8" s="7" t="n">
        <v>4</v>
      </c>
      <c r="J8" s="7" t="n">
        <v>6</v>
      </c>
      <c r="K8" s="8" t="n">
        <v>46318</v>
      </c>
      <c r="L8" s="7">
        <f>COUNTIFS(Attività!$B$2:$B$61,$B8,Attività!$I$2:$I$61,"&lt;&gt;Fatto")</f>
        <v/>
      </c>
      <c r="M8" s="9">
        <f>SUMIFS(Attività!$F$2:$F$61,Attività!$B$2:$B$61,$B8,Attività!$I$2:$I$61,"&lt;&gt;Fatto")</f>
        <v/>
      </c>
      <c r="N8" s="9">
        <f>M8*Ipotesi!$B$6</f>
        <v/>
      </c>
      <c r="O8" s="7">
        <f>SUMIFS(Attività!$G$2:$G$61,Attività!$B$2:$B$61,$B8,Attività!$I$2:$I$61,"&lt;&gt;Fatto")</f>
        <v/>
      </c>
      <c r="P8" s="4" t="inlineStr">
        <is>
          <t>—</t>
        </is>
      </c>
      <c r="Q8" s="8">
        <f>IFERROR(INDEX(Pianificazione!$H:$H,MATCH($B8,Pianificazione!$B:$B,0)),"")</f>
        <v/>
      </c>
      <c r="R8" s="4" t="inlineStr">
        <is>
          <t>Ricerca e checklist sui documenti (riservata). Motore regole + ricerca fatti (43 test); adattatori PaddleOCR/Claude vuoti, editor checklist = JSON.</t>
        </is>
      </c>
    </row>
    <row r="9" ht="60" customHeight="1">
      <c r="A9" s="2" t="n">
        <v>8</v>
      </c>
      <c r="B9" s="3" t="inlineStr">
        <is>
          <t>InCampo</t>
        </is>
      </c>
      <c r="C9" s="4" t="inlineStr">
        <is>
          <t>incampo/</t>
        </is>
      </c>
      <c r="D9" s="4" t="inlineStr">
        <is>
          <t>Python FastAPI + React + Expo</t>
        </is>
      </c>
      <c r="E9" s="2" t="inlineStr">
        <is>
          <t>5190</t>
        </is>
      </c>
      <c r="F9" s="2" t="inlineStr">
        <is>
          <t>MVP completo, rilascio da fare</t>
        </is>
      </c>
      <c r="G9" s="5" t="n">
        <v>0.85</v>
      </c>
      <c r="H9" s="6" t="n">
        <v>32977</v>
      </c>
      <c r="I9" s="7" t="n">
        <v>29</v>
      </c>
      <c r="J9" s="7" t="n">
        <v>4</v>
      </c>
      <c r="K9" s="8" t="n">
        <v>46318</v>
      </c>
      <c r="L9" s="7">
        <f>COUNTIFS(Attività!$B$2:$B$61,$B9,Attività!$I$2:$I$61,"&lt;&gt;Fatto")</f>
        <v/>
      </c>
      <c r="M9" s="9">
        <f>SUMIFS(Attività!$F$2:$F$61,Attività!$B$2:$B$61,$B9,Attività!$I$2:$I$61,"&lt;&gt;Fatto")</f>
        <v/>
      </c>
      <c r="N9" s="9">
        <f>M9*Ipotesi!$B$6</f>
        <v/>
      </c>
      <c r="O9" s="7">
        <f>SUMIFS(Attività!$G$2:$G$61,Attività!$B$2:$B$61,$B9,Attività!$I$2:$I$61,"&lt;&gt;Fatto")</f>
        <v/>
      </c>
      <c r="P9" s="4" t="inlineStr">
        <is>
          <t>Server Linux Docker, DNS, SMTP, account Expo/Firebase (IT)</t>
        </is>
      </c>
      <c r="Q9" s="8">
        <f>IFERROR(INDEX(Pianificazione!$H:$H,MATCH($B9,Pianificazione!$B:$B,0)),"")</f>
        <v/>
      </c>
      <c r="R9" s="4" t="inlineStr">
        <is>
          <t>Gestione cantiere: planimetrie, pin, moduli, task, app mobile offline-first. 30/30 giorni roadmap fatti; debiti tecnici sanati il 06/10. Mai provata su device reale.</t>
        </is>
      </c>
    </row>
    <row r="10" ht="60" customHeight="1">
      <c r="A10" s="2" t="n">
        <v>9</v>
      </c>
      <c r="B10" s="3" t="inlineStr">
        <is>
          <t>SkyTower (CDE)</t>
        </is>
      </c>
      <c r="C10" s="4" t="inlineStr">
        <is>
          <t>skytower/</t>
        </is>
      </c>
      <c r="D10" s="4" t="inlineStr">
        <is>
          <t>Python FastAPI + React + Postgres RLS</t>
        </is>
      </c>
      <c r="E10" s="2" t="inlineStr">
        <is>
          <t>5195/8100</t>
        </is>
      </c>
      <c r="F10" s="2" t="inlineStr">
        <is>
          <t>Funzionale (Sprint 1-6)</t>
        </is>
      </c>
      <c r="G10" s="5" t="n">
        <v>0.9</v>
      </c>
      <c r="H10" s="6" t="n">
        <v>32949</v>
      </c>
      <c r="I10" s="7" t="n">
        <v>77</v>
      </c>
      <c r="J10" s="7" t="n">
        <v>208</v>
      </c>
      <c r="K10" s="8" t="n">
        <v>46324</v>
      </c>
      <c r="L10" s="7">
        <f>COUNTIFS(Attività!$B$2:$B$61,$B10,Attività!$I$2:$I$61,"&lt;&gt;Fatto")</f>
        <v/>
      </c>
      <c r="M10" s="9">
        <f>SUMIFS(Attività!$F$2:$F$61,Attività!$B$2:$B$61,$B10,Attività!$I$2:$I$61,"&lt;&gt;Fatto")</f>
        <v/>
      </c>
      <c r="N10" s="9">
        <f>M10*Ipotesi!$B$6</f>
        <v/>
      </c>
      <c r="O10" s="7">
        <f>SUMIFS(Attività!$G$2:$G$61,Attività!$B$2:$B$61,$B10,Attività!$I$2:$I$61,"&lt;&gt;Fatto")</f>
        <v/>
      </c>
      <c r="P10" s="4" t="inlineStr">
        <is>
          <t>AWS (terraform apply), pentest esterno, utenti pilota UAT, licenza APS, TSA eIDAS</t>
        </is>
      </c>
      <c r="Q10" s="8">
        <f>IFERROR(INDEX(Pianificazione!$H:$H,MATCH($B10,Pianificazione!$B:$B,0)),"")</f>
        <v/>
      </c>
      <c r="R10" s="4" t="inlineStr">
        <is>
          <t>CDE ISO 19650 multi-tenant: 28 migrazioni, ADR fino a 39, UAT U01-U38, 44 e2e. Manca solo il viewer DWG (licenza). Resto = rilascio in AWS e persone.</t>
        </is>
      </c>
    </row>
    <row r="11" ht="60" customHeight="1">
      <c r="A11" s="2" t="n">
        <v>10</v>
      </c>
      <c r="B11" s="3" t="inlineStr">
        <is>
          <t>Ponte Trimble</t>
        </is>
      </c>
      <c r="C11" s="4" t="inlineStr">
        <is>
          <t>ponte-trimble/</t>
        </is>
      </c>
      <c r="D11" s="4" t="inlineStr">
        <is>
          <t>Node.js (SOAP)</t>
        </is>
      </c>
      <c r="E11" s="2" t="inlineStr">
        <is>
          <t>3011</t>
        </is>
      </c>
      <c r="F11" s="2" t="inlineStr">
        <is>
          <t>Alpha</t>
        </is>
      </c>
      <c r="G11" s="5" t="n">
        <v>0.6</v>
      </c>
      <c r="H11" s="6" t="n">
        <v>4133</v>
      </c>
      <c r="I11" s="7" t="n">
        <v>7</v>
      </c>
      <c r="J11" s="7" t="n">
        <v>4</v>
      </c>
      <c r="K11" s="8" t="n">
        <v>46318</v>
      </c>
      <c r="L11" s="7">
        <f>COUNTIFS(Attività!$B$2:$B$61,$B11,Attività!$I$2:$I$61,"&lt;&gt;Fatto")</f>
        <v/>
      </c>
      <c r="M11" s="9">
        <f>SUMIFS(Attività!$F$2:$F$61,Attività!$B$2:$B$61,$B11,Attività!$I$2:$I$61,"&lt;&gt;Fatto")</f>
        <v/>
      </c>
      <c r="N11" s="9">
        <f>M11*Ipotesi!$B$6</f>
        <v/>
      </c>
      <c r="O11" s="7">
        <f>SUMIFS(Attività!$G$2:$G$61,Attività!$B$2:$B$61,$B11,Attività!$I$2:$I$61,"&lt;&gt;Fatto")</f>
        <v/>
      </c>
      <c r="P11" s="4" t="inlineStr">
        <is>
          <t>Token/id reali Field View (Trimble)</t>
        </is>
      </c>
      <c r="Q11" s="8">
        <f>IFERROR(INDEX(Pianificazione!$H:$H,MATCH($B11,Pianificazione!$B:$B,0)),"")</f>
        <v/>
      </c>
      <c r="R11" s="4" t="inlineStr">
        <is>
          <t>PCQ/computi/SAL da PDF a Trimble Field View. Solo AddForm implementata; 10 PDF su 11 del corpus reale sono scansioni: serve il ponte verso OCR.</t>
        </is>
      </c>
    </row>
    <row r="12" ht="60" customHeight="1">
      <c r="A12" s="2" t="n">
        <v>11</v>
      </c>
      <c r="B12" s="3" t="inlineStr">
        <is>
          <t>Auguri</t>
        </is>
      </c>
      <c r="C12" s="4" t="inlineStr">
        <is>
          <t>auguri/</t>
        </is>
      </c>
      <c r="D12" s="4" t="inlineStr">
        <is>
          <t>Node.js + WhatsApp Web</t>
        </is>
      </c>
      <c r="E12" s="2" t="inlineStr">
        <is>
          <t>3000</t>
        </is>
      </c>
      <c r="F12" s="2" t="inlineStr">
        <is>
          <t>In produzione</t>
        </is>
      </c>
      <c r="G12" s="5" t="n">
        <v>0.95</v>
      </c>
      <c r="H12" s="6" t="n">
        <v>1923</v>
      </c>
      <c r="I12" s="7" t="n">
        <v>1</v>
      </c>
      <c r="J12" s="7" t="n">
        <v>3</v>
      </c>
      <c r="K12" s="8" t="n">
        <v>46318</v>
      </c>
      <c r="L12" s="7">
        <f>COUNTIFS(Attività!$B$2:$B$61,$B12,Attività!$I$2:$I$61,"&lt;&gt;Fatto")</f>
        <v/>
      </c>
      <c r="M12" s="9">
        <f>SUMIFS(Attività!$F$2:$F$61,Attività!$B$2:$B$61,$B12,Attività!$I$2:$I$61,"&lt;&gt;Fatto")</f>
        <v/>
      </c>
      <c r="N12" s="9">
        <f>M12*Ipotesi!$B$6</f>
        <v/>
      </c>
      <c r="O12" s="7">
        <f>SUMIFS(Attività!$G$2:$G$61,Attività!$B$2:$B$61,$B12,Attività!$I$2:$I$61,"&lt;&gt;Fatto")</f>
        <v/>
      </c>
      <c r="P12" s="4" t="inlineStr">
        <is>
          <t>—</t>
        </is>
      </c>
      <c r="Q12" s="8">
        <f>IFERROR(INDEX(Pianificazione!$H:$H,MATCH($B12,Pianificazione!$B:$B,0)),"")</f>
        <v/>
      </c>
      <c r="R12" s="4" t="inlineStr">
        <is>
          <t>Compleanni su WhatsApp (solo admin). Sempre in esecuzione: aggiornamenti solo ad app ferma.</t>
        </is>
      </c>
    </row>
    <row r="13" ht="60" customHeight="1">
      <c r="A13" s="2" t="n">
        <v>12</v>
      </c>
      <c r="B13" s="3" t="inlineStr">
        <is>
          <t>VFP Transfer (DMS → Viewpoint)</t>
        </is>
      </c>
      <c r="C13" s="4" t="inlineStr">
        <is>
          <t>vfp-transfer-DMS/vfp-transfer/</t>
        </is>
      </c>
      <c r="D13" s="4" t="inlineStr">
        <is>
          <t>Python stdlib + UI senza build</t>
        </is>
      </c>
      <c r="E13" s="2" t="inlineStr">
        <is>
          <t>8770</t>
        </is>
      </c>
      <c r="F13" s="2" t="inlineStr">
        <is>
          <t>Beta, lavoro in corso</t>
        </is>
      </c>
      <c r="G13" s="5" t="n">
        <v>0.7</v>
      </c>
      <c r="H13" s="6" t="n">
        <v>18724</v>
      </c>
      <c r="I13" s="7" t="n">
        <v>12</v>
      </c>
      <c r="J13" s="7" t="n">
        <v>16</v>
      </c>
      <c r="K13" s="8" t="n">
        <v>46321</v>
      </c>
      <c r="L13" s="7">
        <f>COUNTIFS(Attività!$B$2:$B$61,$B13,Attività!$I$2:$I$61,"&lt;&gt;Fatto")</f>
        <v/>
      </c>
      <c r="M13" s="9">
        <f>SUMIFS(Attività!$F$2:$F$61,Attività!$B$2:$B$61,$B13,Attività!$I$2:$I$61,"&lt;&gt;Fatto")</f>
        <v/>
      </c>
      <c r="N13" s="9">
        <f>M13*Ipotesi!$B$6</f>
        <v/>
      </c>
      <c r="O13" s="7">
        <f>SUMIFS(Attività!$G$2:$G$61,Attività!$B$2:$B$61,$B13,Attività!$I$2:$I$61,"&lt;&gt;Fatto")</f>
        <v/>
      </c>
      <c r="P13" s="4" t="inlineStr">
        <is>
          <t>Credenziali API Trimble/Viewpoint, driver ODBC 18 (IT), API CPM/Alyante, DMS di origine da definire</t>
        </is>
      </c>
      <c r="Q13" s="8">
        <f>IFERROR(INDEX(Pianificazione!$H:$H,MATCH($B13,Pianificazione!$B:$B,0)),"")</f>
        <v/>
      </c>
      <c r="R13" s="4" t="inlineStr">
        <is>
          <t>Trasferimento documenti, posta automatica (Graph/IMAP/PEC), moduli autocompilati, modelli Word protetti, mezzi a nolo (NON committato: 6 file nuovi + 9 modificati). Mai provato contro VFP reale.</t>
        </is>
      </c>
    </row>
    <row r="14" ht="60" customHeight="1">
      <c r="A14" s="2" t="n">
        <v>13</v>
      </c>
      <c r="B14" s="3" t="inlineStr">
        <is>
          <t>Codice condiviso (shared)</t>
        </is>
      </c>
      <c r="C14" s="4" t="inlineStr">
        <is>
          <t>shared/</t>
        </is>
      </c>
      <c r="D14" s="4" t="inlineStr">
        <is>
          <t>Node CommonJS + Python</t>
        </is>
      </c>
      <c r="E14" s="2" t="inlineStr">
        <is>
          <t>—</t>
        </is>
      </c>
      <c r="F14" s="2" t="inlineStr">
        <is>
          <t>Completo</t>
        </is>
      </c>
      <c r="G14" s="5" t="n">
        <v>1</v>
      </c>
      <c r="H14" s="6" t="n">
        <v>1717</v>
      </c>
      <c r="I14" s="7" t="n">
        <v>5</v>
      </c>
      <c r="J14" s="7" t="n">
        <v>13</v>
      </c>
      <c r="K14" s="8" t="n">
        <v>46321</v>
      </c>
      <c r="L14" s="7">
        <f>COUNTIFS(Attività!$B$2:$B$61,$B14,Attività!$I$2:$I$61,"&lt;&gt;Fatto")</f>
        <v/>
      </c>
      <c r="M14" s="9">
        <f>SUMIFS(Attività!$F$2:$F$61,Attività!$B$2:$B$61,$B14,Attività!$I$2:$I$61,"&lt;&gt;Fatto")</f>
        <v/>
      </c>
      <c r="N14" s="9">
        <f>M14*Ipotesi!$B$6</f>
        <v/>
      </c>
      <c r="O14" s="7">
        <f>SUMIFS(Attività!$G$2:$G$61,Attività!$B$2:$B$61,$B14,Attività!$I$2:$I$61,"&lt;&gt;Fatto")</f>
        <v/>
      </c>
      <c r="P14" s="4" t="inlineStr">
        <is>
          <t>—</t>
        </is>
      </c>
      <c r="Q14" s="8">
        <f>IFERROR(INDEX(Pianificazione!$H:$H,MATCH($B14,Pianificazione!$B:$B,0)),"")</f>
        <v/>
      </c>
      <c r="R14" s="4" t="inlineStr">
        <is>
          <t>Gate SSO, lock istanza, logger winston, avvisi admin, script di avvio. Nessuna attività aperta.</t>
        </is>
      </c>
    </row>
    <row r="15" ht="60" customHeight="1">
      <c r="A15" s="2" t="n">
        <v>14</v>
      </c>
      <c r="B15" s="3" t="inlineStr">
        <is>
          <t>Installer e firewall</t>
        </is>
      </c>
      <c r="C15" s="4" t="inlineStr">
        <is>
          <t>InstallaSuite.exe, installa-suite.py, firewall-suite.ps1, installa-credenziali.*</t>
        </is>
      </c>
      <c r="D15" s="4" t="inlineStr">
        <is>
          <t>Python PyInstaller + PowerShell</t>
        </is>
      </c>
      <c r="E15" s="2" t="inlineStr">
        <is>
          <t>—</t>
        </is>
      </c>
      <c r="F15" s="2" t="inlineStr">
        <is>
          <t>Completo</t>
        </is>
      </c>
      <c r="G15" s="5" t="n">
        <v>0.95</v>
      </c>
      <c r="H15" s="6" t="n">
        <v>0</v>
      </c>
      <c r="I15" s="7" t="n">
        <v>0</v>
      </c>
      <c r="J15" s="7" t="n">
        <v>0</v>
      </c>
      <c r="K15" s="8" t="n">
        <v>46322</v>
      </c>
      <c r="L15" s="7">
        <f>COUNTIFS(Attività!$B$2:$B$61,$B15,Attività!$I$2:$I$61,"&lt;&gt;Fatto")</f>
        <v/>
      </c>
      <c r="M15" s="9">
        <f>SUMIFS(Attività!$F$2:$F$61,Attività!$B$2:$B$61,$B15,Attività!$I$2:$I$61,"&lt;&gt;Fatto")</f>
        <v/>
      </c>
      <c r="N15" s="9">
        <f>M15*Ipotesi!$B$6</f>
        <v/>
      </c>
      <c r="O15" s="7">
        <f>SUMIFS(Attività!$G$2:$G$61,Attività!$B$2:$B$61,$B15,Attività!$I$2:$I$61,"&lt;&gt;Fatto")</f>
        <v/>
      </c>
      <c r="P15" s="4" t="inlineStr">
        <is>
          <t>Esecuzione sul server (IT)</t>
        </is>
      </c>
      <c r="Q15" s="8">
        <f>IFERROR(INDEX(Pianificazione!$H:$H,MATCH($B15,Pianificazione!$B:$B,0)),"")</f>
        <v/>
      </c>
      <c r="R15" s="4" t="inlineStr">
        <is>
          <t>Installer della suite e apertura porte solo verso la LAN. Da lanciare una volta sul server.</t>
        </is>
      </c>
    </row>
    <row r="16">
      <c r="A16" s="10" t="n"/>
      <c r="B16" s="3" t="inlineStr">
        <is>
          <t>Totale suite</t>
        </is>
      </c>
      <c r="C16" s="10" t="n"/>
      <c r="D16" s="10" t="n"/>
      <c r="E16" s="10" t="n"/>
      <c r="F16" s="10" t="n"/>
      <c r="G16" s="11">
        <f>SUMPRODUCT(G2:G15,H2:H15)/SUM(H2:H15)</f>
        <v/>
      </c>
      <c r="H16" s="12">
        <f>SUM(H2:H15)</f>
        <v/>
      </c>
      <c r="I16" s="13">
        <f>SUM(I2:I15)</f>
        <v/>
      </c>
      <c r="J16" s="13">
        <f>SUM(J2:J15)</f>
        <v/>
      </c>
      <c r="K16" s="14">
        <f>MAX(K2:K15)</f>
        <v/>
      </c>
      <c r="L16" s="13">
        <f>SUM(L2:L15)</f>
        <v/>
      </c>
      <c r="M16" s="15">
        <f>SUM(M2:M15)</f>
        <v/>
      </c>
      <c r="N16" s="15">
        <f>SUM(N2:N15)</f>
        <v/>
      </c>
      <c r="O16" s="13">
        <f>SUM(O2:O15)</f>
        <v/>
      </c>
      <c r="P16" s="10" t="n"/>
      <c r="Q16" s="14">
        <f>MAX(Q2:Q15)</f>
        <v/>
      </c>
      <c r="R16" s="16" t="inlineStr">
        <is>
          <t>Fine stimata = sviluppo in sequenza (foglio Pianificazione). Le attese esterne corrono in parallelo allo sviluppo: vedi lì il confronto.</t>
        </is>
      </c>
    </row>
    <row r="17">
      <c r="A17" s="10" t="n"/>
      <c r="B17" s="4" t="inlineStr">
        <is>
          <t>Media semplice</t>
        </is>
      </c>
      <c r="C17" s="10" t="n"/>
      <c r="D17" s="10" t="n"/>
      <c r="E17" s="10" t="n"/>
      <c r="F17" s="10" t="n"/>
      <c r="G17" s="17">
        <f>AVERAGE(G2:G15)</f>
        <v/>
      </c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</sheetData>
  <autoFilter ref="A1:R15"/>
  <conditionalFormatting sqref="G2:G15">
    <cfRule type="cellIs" priority="1" operator="lessThan" dxfId="0">
      <formula>0.6</formula>
    </cfRule>
    <cfRule type="cellIs" priority="2" operator="between" dxfId="1">
      <formula>0.6</formula>
      <formula>0.89</formula>
    </cfRule>
    <cfRule type="cellIs" priority="3" operator="greaterThanOrEqual" dxfId="2">
      <formula>0.9</formula>
    </cfRule>
  </conditionalFormatting>
  <conditionalFormatting sqref="F2:F15">
    <cfRule type="expression" priority="4" dxfId="0">
      <formula>ISNUMBER(SEARCH("Bloccato",F2))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0" customWidth="1" min="3" max="3"/>
  </cols>
  <sheetData>
    <row r="1">
      <c r="A1" s="18" t="inlineStr">
        <is>
          <t>Ipotesi e legenda</t>
        </is>
      </c>
      <c r="B1" s="10" t="n"/>
      <c r="C1" s="10" t="n"/>
    </row>
    <row r="2">
      <c r="A2" s="10" t="n"/>
      <c r="B2" s="10" t="n"/>
      <c r="C2" s="10" t="n"/>
    </row>
    <row r="3">
      <c r="A3" s="1" t="inlineStr">
        <is>
          <t>Parametro</t>
        </is>
      </c>
      <c r="B3" s="1" t="inlineStr">
        <is>
          <t>Valore</t>
        </is>
      </c>
      <c r="C3" s="1" t="inlineStr">
        <is>
          <t>Nota</t>
        </is>
      </c>
    </row>
    <row r="4">
      <c r="A4" s="4" t="inlineStr">
        <is>
          <t>Data di inizio pianificazione</t>
        </is>
      </c>
      <c r="B4" s="19" t="n">
        <v>46329</v>
      </c>
      <c r="C4" s="4" t="inlineStr">
        <is>
          <t>Primo lunedì utile dopo la scansione (30/10/2026).</t>
        </is>
      </c>
    </row>
    <row r="5">
      <c r="A5" s="4" t="inlineStr">
        <is>
          <t>Sviluppatori in parallelo</t>
        </is>
      </c>
      <c r="B5" s="20" t="n">
        <v>1</v>
      </c>
      <c r="C5" s="4" t="inlineStr">
        <is>
          <t>Team reale: 1 sviluppatore + Claude (come in incampo/ROADMAP.md e piano-sviluppo-cde.md).</t>
        </is>
      </c>
    </row>
    <row r="6">
      <c r="A6" s="4" t="inlineStr">
        <is>
          <t>Fattore di contingenza</t>
        </is>
      </c>
      <c r="B6" s="21" t="n">
        <v>1.3</v>
      </c>
      <c r="C6" s="4" t="inlineStr">
        <is>
          <t>+30% sulle stime di sviluppo: le stime sono a spanne da README/roadmap, mai da misura.</t>
        </is>
      </c>
    </row>
    <row r="7">
      <c r="A7" s="4" t="inlineStr">
        <is>
          <t>Ore di sviluppo al giorno</t>
        </is>
      </c>
      <c r="B7" s="20" t="n">
        <v>6</v>
      </c>
      <c r="C7" s="4" t="inlineStr">
        <is>
          <t>Solo informativo: le stime sono in giorni-persona pieni.</t>
        </is>
      </c>
    </row>
    <row r="8">
      <c r="A8" s="10" t="n"/>
      <c r="B8" s="10" t="n"/>
      <c r="C8" s="10" t="n"/>
    </row>
    <row r="9">
      <c r="A9" s="22" t="inlineStr">
        <is>
          <t>Festività (escluse dal calendario)</t>
        </is>
      </c>
      <c r="B9" s="10" t="n"/>
      <c r="C9" s="10" t="n"/>
    </row>
    <row r="10">
      <c r="A10" s="19" t="n">
        <v>46364</v>
      </c>
      <c r="B10" s="10" t="n"/>
      <c r="C10" s="10" t="n"/>
    </row>
    <row r="11">
      <c r="A11" s="19" t="n">
        <v>46381</v>
      </c>
      <c r="B11" s="10" t="n"/>
      <c r="C11" s="10" t="n"/>
    </row>
    <row r="12">
      <c r="A12" s="19" t="n">
        <v>46382</v>
      </c>
      <c r="B12" s="10" t="n"/>
      <c r="C12" s="10" t="n"/>
    </row>
    <row r="13">
      <c r="A13" s="19" t="n">
        <v>46388</v>
      </c>
      <c r="B13" s="10" t="n"/>
      <c r="C13" s="10" t="n"/>
    </row>
    <row r="14">
      <c r="A14" s="19" t="n">
        <v>46393</v>
      </c>
      <c r="B14" s="10" t="n"/>
      <c r="C14" s="10" t="n"/>
    </row>
    <row r="15">
      <c r="A15" s="19" t="n">
        <v>46482</v>
      </c>
      <c r="B15" s="10" t="n"/>
      <c r="C15" s="10" t="n"/>
    </row>
    <row r="16">
      <c r="A16" s="19" t="n">
        <v>46502</v>
      </c>
      <c r="B16" s="10" t="n"/>
      <c r="C16" s="10" t="n"/>
    </row>
    <row r="17">
      <c r="A17" s="19" t="n">
        <v>46508</v>
      </c>
      <c r="B17" s="10" t="n"/>
      <c r="C17" s="10" t="n"/>
    </row>
    <row r="18">
      <c r="A18" s="19" t="n">
        <v>46540</v>
      </c>
      <c r="B18" s="10" t="n"/>
      <c r="C18" s="10" t="n"/>
    </row>
    <row r="19">
      <c r="A19" s="10" t="n"/>
      <c r="B19" s="10" t="n"/>
      <c r="C19" s="10" t="n"/>
    </row>
    <row r="20">
      <c r="A20" s="22" t="inlineStr">
        <is>
          <t>Legenda</t>
        </is>
      </c>
      <c r="B20" s="10" t="n"/>
      <c r="C20" s="4" t="inlineStr"/>
    </row>
    <row r="21">
      <c r="A21" s="4" t="inlineStr">
        <is>
          <t>Celle gialle / testo blu</t>
        </is>
      </c>
      <c r="B21" s="10" t="n"/>
      <c r="C21" s="4" t="inlineStr">
        <is>
          <t>Valori da modificare a mano (ipotesi, % avanzamento, stime in giorni, stato delle attività).</t>
        </is>
      </c>
    </row>
    <row r="22">
      <c r="A22" s="4" t="inlineStr">
        <is>
          <t>Testo nero</t>
        </is>
      </c>
      <c r="B22" s="10" t="n"/>
      <c r="C22" s="4" t="inlineStr">
        <is>
          <t>Formule: si ricalcolano da sole. Non sovrascrivere.</t>
        </is>
      </c>
    </row>
    <row r="23">
      <c r="A23" s="4" t="inlineStr">
        <is>
          <t>% avanzamento</t>
        </is>
      </c>
      <c r="B23" s="10" t="n"/>
      <c r="C23" s="4" t="inlineStr">
        <is>
          <t>Giudizio di chi ha fatto la scansione, letto da README, roadmap, passaggi di consegne e stato git. Non è una misura.</t>
        </is>
      </c>
    </row>
    <row r="24">
      <c r="A24" s="4" t="inlineStr">
        <is>
          <t>Giorni dev</t>
        </is>
      </c>
      <c r="B24" s="10" t="n"/>
      <c r="C24" s="4" t="inlineStr">
        <is>
          <t>Giorni-persona di sviluppo (1 sviluppatore + Claude). Stime di massima, da correggere dopo la prima attività di ogni programma.</t>
        </is>
      </c>
    </row>
    <row r="25">
      <c r="A25" s="4" t="inlineStr">
        <is>
          <t>Giorni attesa</t>
        </is>
      </c>
      <c r="B25" s="10" t="n"/>
      <c r="C25" s="4" t="inlineStr">
        <is>
          <t>Giorni di calendario in cui si aspetta qualcun altro (IT, direzione, fornitori). Non consumano giorni dev ma possono spostare la fine.</t>
        </is>
      </c>
    </row>
    <row r="26">
      <c r="A26" s="4" t="inlineStr">
        <is>
          <t>Tipo attività</t>
        </is>
      </c>
      <c r="B26" s="10" t="n"/>
      <c r="C26" s="4" t="inlineStr">
        <is>
          <t>Sviluppo = codice · IT = infrastruttura aziendale · Decisione = scelta della direzione · Test sul campo = utenti reali · Esterno = fornitore/terzi.</t>
        </is>
      </c>
    </row>
    <row r="27">
      <c r="A27" s="4" t="inlineStr">
        <is>
          <t>Stato programma</t>
        </is>
      </c>
      <c r="B27" s="10" t="n"/>
      <c r="C27" s="4" t="inlineStr">
        <is>
          <t>In produzione · Completo · Funzionale · Beta · Alpha · Scheletro · Bloccato.</t>
        </is>
      </c>
    </row>
    <row r="28">
      <c r="A28" s="4" t="inlineStr">
        <is>
          <t>Fonte dei numeri</t>
        </is>
      </c>
      <c r="B28" s="10" t="n"/>
      <c r="C28" s="4" t="inlineStr">
        <is>
          <t>Righe di codice e file di test contati sui sorgenti (senza node_modules, .venv, dist); commit e date da git log del repo Programmi-pronti- al 30/10/2026.</t>
        </is>
      </c>
    </row>
    <row r="29">
      <c r="A29" s="4" t="inlineStr">
        <is>
          <t>Cosa NON è un programma</t>
        </is>
      </c>
      <c r="B29" s="10" t="n"/>
      <c r="C29" s="4" t="inlineStr">
        <is>
          <t>Contratti/ = format Word usati da VFP Transfer (fuori da git). Torre di controllo - SkyTower/ = lanciatore, piano e passaggi di consegne del CDE; la sottocartella cde/ è una copia vecchia da togliere.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14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28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Programma</t>
        </is>
      </c>
      <c r="C1" s="1" t="inlineStr">
        <is>
          <t>Attività</t>
        </is>
      </c>
      <c r="D1" s="1" t="inlineStr">
        <is>
          <t>Tipo</t>
        </is>
      </c>
      <c r="E1" s="1" t="inlineStr">
        <is>
          <t>Chi</t>
        </is>
      </c>
      <c r="F1" s="1" t="inlineStr">
        <is>
          <t>Giorni dev</t>
        </is>
      </c>
      <c r="G1" s="1" t="inlineStr">
        <is>
          <t>Giorni attesa</t>
        </is>
      </c>
      <c r="H1" s="1" t="inlineStr">
        <is>
          <t>Priorità (1 alta)</t>
        </is>
      </c>
      <c r="I1" s="1" t="inlineStr">
        <is>
          <t>Stato</t>
        </is>
      </c>
      <c r="J1" s="1" t="inlineStr">
        <is>
          <t>Dipende da</t>
        </is>
      </c>
      <c r="K1" s="1" t="inlineStr">
        <is>
          <t>Fonte</t>
        </is>
      </c>
    </row>
    <row r="2">
      <c r="A2" s="2" t="n">
        <v>1</v>
      </c>
      <c r="B2" s="4" t="inlineStr">
        <is>
          <t>Portale Suite</t>
        </is>
      </c>
      <c r="C2" s="4" t="inlineStr">
        <is>
          <t>Attivare i sottodomini: SUITE_DOMINIO, Caddy con deploy/Caddyfile, DNS wildcard</t>
        </is>
      </c>
      <c r="D2" s="2" t="inlineStr">
        <is>
          <t>IT</t>
        </is>
      </c>
      <c r="E2" s="4" t="inlineStr">
        <is>
          <t>IT</t>
        </is>
      </c>
      <c r="F2" s="23" t="n">
        <v>0.5</v>
      </c>
      <c r="G2" s="24" t="n">
        <v>5</v>
      </c>
      <c r="H2" s="24" t="n">
        <v>2</v>
      </c>
      <c r="I2" s="25" t="inlineStr">
        <is>
          <t>Da fare</t>
        </is>
      </c>
      <c r="J2" s="4" t="inlineStr">
        <is>
          <t>Server con Caddy</t>
        </is>
      </c>
      <c r="K2" s="26" t="inlineStr">
        <is>
          <t>README.md § Indirizzi sul server</t>
        </is>
      </c>
    </row>
    <row r="3">
      <c r="A3" s="2" t="n">
        <v>2</v>
      </c>
      <c r="B3" s="4" t="inlineStr">
        <is>
          <t>Portale Suite</t>
        </is>
      </c>
      <c r="C3" s="4" t="inlineStr">
        <is>
          <t>Installare il certificato radice Caddy sui PC client (tls internal)</t>
        </is>
      </c>
      <c r="D3" s="2" t="inlineStr">
        <is>
          <t>IT</t>
        </is>
      </c>
      <c r="E3" s="4" t="inlineStr">
        <is>
          <t>IT</t>
        </is>
      </c>
      <c r="F3" s="23" t="n">
        <v>0</v>
      </c>
      <c r="G3" s="24" t="n">
        <v>5</v>
      </c>
      <c r="H3" s="24" t="n">
        <v>2</v>
      </c>
      <c r="I3" s="25" t="inlineStr">
        <is>
          <t>Da fare</t>
        </is>
      </c>
      <c r="J3" s="4" t="inlineStr">
        <is>
          <t>Attivazione Caddy</t>
        </is>
      </c>
      <c r="K3" s="26" t="inlineStr">
        <is>
          <t>deploy/Caddyfile</t>
        </is>
      </c>
    </row>
    <row r="4">
      <c r="A4" s="2" t="n">
        <v>3</v>
      </c>
      <c r="B4" s="4" t="inlineStr">
        <is>
          <t>Portale Suite</t>
        </is>
      </c>
      <c r="C4" s="4" t="inlineStr">
        <is>
          <t>Unire il branch feat/plancia-dal-portale (verificare se già incluso)</t>
        </is>
      </c>
      <c r="D4" s="2" t="inlineStr">
        <is>
          <t>Sviluppo</t>
        </is>
      </c>
      <c r="E4" s="4" t="inlineStr">
        <is>
          <t>Dev + Claude</t>
        </is>
      </c>
      <c r="F4" s="23" t="n">
        <v>0.5</v>
      </c>
      <c r="G4" s="24" t="n">
        <v>0</v>
      </c>
      <c r="H4" s="24" t="n">
        <v>3</v>
      </c>
      <c r="I4" s="25" t="inlineStr">
        <is>
          <t>Da fare</t>
        </is>
      </c>
      <c r="J4" s="4" t="inlineStr">
        <is>
          <t>—</t>
        </is>
      </c>
      <c r="K4" s="26" t="inlineStr">
        <is>
          <t>git branch</t>
        </is>
      </c>
    </row>
    <row r="5">
      <c r="A5" s="2" t="n">
        <v>4</v>
      </c>
      <c r="B5" s="4" t="inlineStr">
        <is>
          <t>Lettore DDT</t>
        </is>
      </c>
      <c r="C5" s="4" t="inlineStr">
        <is>
          <t>Rimuovere static/js/enhancements.js (caricato ma non usato)</t>
        </is>
      </c>
      <c r="D5" s="2" t="inlineStr">
        <is>
          <t>Sviluppo</t>
        </is>
      </c>
      <c r="E5" s="4" t="inlineStr">
        <is>
          <t>Dev + Claude</t>
        </is>
      </c>
      <c r="F5" s="23" t="n">
        <v>0.5</v>
      </c>
      <c r="G5" s="24" t="n">
        <v>0</v>
      </c>
      <c r="H5" s="24" t="n">
        <v>3</v>
      </c>
      <c r="I5" s="25" t="inlineStr">
        <is>
          <t>Da fare</t>
        </is>
      </c>
      <c r="J5" s="4" t="inlineStr">
        <is>
          <t>—</t>
        </is>
      </c>
      <c r="K5" s="26" t="inlineStr">
        <is>
          <t>lettore-ddt/UNUSED_FILES_REPORT.md</t>
        </is>
      </c>
    </row>
    <row r="6">
      <c r="A6" s="2" t="n">
        <v>5</v>
      </c>
      <c r="B6" s="4" t="inlineStr">
        <is>
          <t>Lettore DDT</t>
        </is>
      </c>
      <c r="C6" s="4" t="inlineStr">
        <is>
          <t>Unire PR Dependabot (anthropic sdk, helmet, sviluppo) e rilanciare CI</t>
        </is>
      </c>
      <c r="D6" s="2" t="inlineStr">
        <is>
          <t>Sviluppo</t>
        </is>
      </c>
      <c r="E6" s="4" t="inlineStr">
        <is>
          <t>Dev + Claude</t>
        </is>
      </c>
      <c r="F6" s="23" t="n">
        <v>0.5</v>
      </c>
      <c r="G6" s="24" t="n">
        <v>0</v>
      </c>
      <c r="H6" s="24" t="n">
        <v>3</v>
      </c>
      <c r="I6" s="25" t="inlineStr">
        <is>
          <t>Da fare</t>
        </is>
      </c>
      <c r="J6" s="4" t="inlineStr">
        <is>
          <t>—</t>
        </is>
      </c>
      <c r="K6" s="26" t="inlineStr">
        <is>
          <t>remotes/origin/dependabot/*</t>
        </is>
      </c>
    </row>
    <row r="7">
      <c r="A7" s="2" t="n">
        <v>6</v>
      </c>
      <c r="B7" s="4" t="inlineStr">
        <is>
          <t>Analista Dati</t>
        </is>
      </c>
      <c r="C7" s="4" t="inlineStr">
        <is>
          <t>ReDoS `xlsx` (GHSA-5pgg-2g8v-p4x9): migrare alla build ufficiale SheetJS o limiti dimensione/tempo sul parse</t>
        </is>
      </c>
      <c r="D7" s="2" t="inlineStr">
        <is>
          <t>Sviluppo</t>
        </is>
      </c>
      <c r="E7" s="4" t="inlineStr">
        <is>
          <t>Dev + Claude</t>
        </is>
      </c>
      <c r="F7" s="23" t="n">
        <v>1</v>
      </c>
      <c r="G7" s="24" t="n">
        <v>0</v>
      </c>
      <c r="H7" s="24" t="n">
        <v>1</v>
      </c>
      <c r="I7" s="25" t="inlineStr">
        <is>
          <t>Da fare</t>
        </is>
      </c>
      <c r="J7" s="4" t="inlineStr">
        <is>
          <t>—</t>
        </is>
      </c>
      <c r="K7" s="26" t="inlineStr">
        <is>
          <t>CONTESTO-SESSIONI.md § Sicurezza</t>
        </is>
      </c>
    </row>
    <row r="8">
      <c r="A8" s="2" t="n">
        <v>7</v>
      </c>
      <c r="B8" s="4" t="inlineStr">
        <is>
          <t>Analista Dati</t>
        </is>
      </c>
      <c r="C8" s="4" t="inlineStr">
        <is>
          <t>Streaming dei token della risposta finale dell'agente</t>
        </is>
      </c>
      <c r="D8" s="2" t="inlineStr">
        <is>
          <t>Sviluppo</t>
        </is>
      </c>
      <c r="E8" s="4" t="inlineStr">
        <is>
          <t>Dev + Claude</t>
        </is>
      </c>
      <c r="F8" s="23" t="n">
        <v>2</v>
      </c>
      <c r="G8" s="24" t="n">
        <v>0</v>
      </c>
      <c r="H8" s="24" t="n">
        <v>3</v>
      </c>
      <c r="I8" s="25" t="inlineStr">
        <is>
          <t>Da fare</t>
        </is>
      </c>
      <c r="J8" s="4" t="inlineStr">
        <is>
          <t>—</t>
        </is>
      </c>
      <c r="K8" s="26" t="inlineStr">
        <is>
          <t>CONTESTO-SESSIONI.md § Prossimi passi</t>
        </is>
      </c>
    </row>
    <row r="9">
      <c r="A9" s="2" t="n">
        <v>8</v>
      </c>
      <c r="B9" s="4" t="inlineStr">
        <is>
          <t>Analista Dati</t>
        </is>
      </c>
      <c r="C9" s="4" t="inlineStr">
        <is>
          <t>Tuning filtro di pertinenza (scope.ts) e alzare LLM_CONCURRENCY</t>
        </is>
      </c>
      <c r="D9" s="2" t="inlineStr">
        <is>
          <t>Sviluppo</t>
        </is>
      </c>
      <c r="E9" s="4" t="inlineStr">
        <is>
          <t>Dev + Claude</t>
        </is>
      </c>
      <c r="F9" s="23" t="n">
        <v>1</v>
      </c>
      <c r="G9" s="24" t="n">
        <v>0</v>
      </c>
      <c r="H9" s="24" t="n">
        <v>3</v>
      </c>
      <c r="I9" s="25" t="inlineStr">
        <is>
          <t>Da fare</t>
        </is>
      </c>
      <c r="J9" s="4" t="inlineStr">
        <is>
          <t>—</t>
        </is>
      </c>
      <c r="K9" s="26" t="inlineStr">
        <is>
          <t>CONTESTO-SESSIONI.md § Prossimi passi</t>
        </is>
      </c>
    </row>
    <row r="10">
      <c r="A10" s="2" t="n">
        <v>9</v>
      </c>
      <c r="B10" s="4" t="inlineStr">
        <is>
          <t>Analista Dati</t>
        </is>
      </c>
      <c r="C10" s="4" t="inlineStr">
        <is>
          <t>Unire PR Dependabot (dotenv, mysql2, sviluppo)</t>
        </is>
      </c>
      <c r="D10" s="2" t="inlineStr">
        <is>
          <t>Sviluppo</t>
        </is>
      </c>
      <c r="E10" s="4" t="inlineStr">
        <is>
          <t>Dev + Claude</t>
        </is>
      </c>
      <c r="F10" s="23" t="n">
        <v>0.5</v>
      </c>
      <c r="G10" s="24" t="n">
        <v>0</v>
      </c>
      <c r="H10" s="24" t="n">
        <v>3</v>
      </c>
      <c r="I10" s="25" t="inlineStr">
        <is>
          <t>Da fare</t>
        </is>
      </c>
      <c r="J10" s="4" t="inlineStr">
        <is>
          <t>—</t>
        </is>
      </c>
      <c r="K10" s="26" t="inlineStr">
        <is>
          <t>remotes/origin/dependabot/*</t>
        </is>
      </c>
    </row>
    <row r="11">
      <c r="A11" s="2" t="n">
        <v>10</v>
      </c>
      <c r="B11" s="4" t="inlineStr">
        <is>
          <t>Confronto Documenti</t>
        </is>
      </c>
      <c r="C11" s="4" t="inlineStr">
        <is>
          <t>Unire PR Dependabot (requests, waitress) e aggiornare requirements.lock</t>
        </is>
      </c>
      <c r="D11" s="2" t="inlineStr">
        <is>
          <t>Sviluppo</t>
        </is>
      </c>
      <c r="E11" s="4" t="inlineStr">
        <is>
          <t>Dev + Claude</t>
        </is>
      </c>
      <c r="F11" s="23" t="n">
        <v>0.5</v>
      </c>
      <c r="G11" s="24" t="n">
        <v>0</v>
      </c>
      <c r="H11" s="24" t="n">
        <v>3</v>
      </c>
      <c r="I11" s="25" t="inlineStr">
        <is>
          <t>Da fare</t>
        </is>
      </c>
      <c r="J11" s="4" t="inlineStr">
        <is>
          <t>—</t>
        </is>
      </c>
      <c r="K11" s="26" t="inlineStr">
        <is>
          <t>remotes/origin/dependabot/pip/*</t>
        </is>
      </c>
    </row>
    <row r="12">
      <c r="A12" s="2" t="n">
        <v>11</v>
      </c>
      <c r="B12" s="4" t="inlineStr">
        <is>
          <t>OCR Documenti</t>
        </is>
      </c>
      <c r="C12" s="4" t="inlineStr">
        <is>
          <t>Autorizzazione WDAC della cartella del programma (DLL Paddle non firmate, WinError 4551)</t>
        </is>
      </c>
      <c r="D12" s="2" t="inlineStr">
        <is>
          <t>IT</t>
        </is>
      </c>
      <c r="E12" s="4" t="inlineStr">
        <is>
          <t>IT</t>
        </is>
      </c>
      <c r="F12" s="23" t="n">
        <v>0</v>
      </c>
      <c r="G12" s="24" t="n">
        <v>10</v>
      </c>
      <c r="H12" s="24" t="n">
        <v>1</v>
      </c>
      <c r="I12" s="25" t="inlineStr">
        <is>
          <t>Bloccato</t>
        </is>
      </c>
      <c r="J12" s="4" t="inlineStr">
        <is>
          <t>Policy aziendale 31/08/2026</t>
        </is>
      </c>
      <c r="K12" s="26" t="inlineStr">
        <is>
          <t>ocr-documenti/docs/IMPROVEMENTS.md</t>
        </is>
      </c>
    </row>
    <row r="13">
      <c r="A13" s="2" t="n">
        <v>12</v>
      </c>
      <c r="B13" s="4" t="inlineStr">
        <is>
          <t>OCR Documenti</t>
        </is>
      </c>
      <c r="C13" s="4" t="inlineStr">
        <is>
          <t>Misurare PADDLE_WORKERS sulla GPU 16 GB (dopo sblocco WDAC)</t>
        </is>
      </c>
      <c r="D13" s="2" t="inlineStr">
        <is>
          <t>Sviluppo</t>
        </is>
      </c>
      <c r="E13" s="4" t="inlineStr">
        <is>
          <t>Dev + Claude</t>
        </is>
      </c>
      <c r="F13" s="23" t="n">
        <v>0.5</v>
      </c>
      <c r="G13" s="24" t="n">
        <v>0</v>
      </c>
      <c r="H13" s="24" t="n">
        <v>2</v>
      </c>
      <c r="I13" s="25" t="inlineStr">
        <is>
          <t>Bloccato</t>
        </is>
      </c>
      <c r="J13" s="4" t="inlineStr">
        <is>
          <t>Sblocco WDAC</t>
        </is>
      </c>
      <c r="K13" s="26" t="inlineStr">
        <is>
          <t>ocr-documenti/docs/IMPROVEMENTS.md</t>
        </is>
      </c>
    </row>
    <row r="14">
      <c r="A14" s="2" t="n">
        <v>13</v>
      </c>
      <c r="B14" s="4" t="inlineStr">
        <is>
          <t>OCR Documenti</t>
        </is>
      </c>
      <c r="C14" s="4" t="inlineStr">
        <is>
          <t>Unire PR Dependabot (multi, sviluppo)</t>
        </is>
      </c>
      <c r="D14" s="2" t="inlineStr">
        <is>
          <t>Sviluppo</t>
        </is>
      </c>
      <c r="E14" s="4" t="inlineStr">
        <is>
          <t>Dev + Claude</t>
        </is>
      </c>
      <c r="F14" s="23" t="n">
        <v>0.5</v>
      </c>
      <c r="G14" s="24" t="n">
        <v>0</v>
      </c>
      <c r="H14" s="24" t="n">
        <v>3</v>
      </c>
      <c r="I14" s="25" t="inlineStr">
        <is>
          <t>Da fare</t>
        </is>
      </c>
      <c r="J14" s="4" t="inlineStr">
        <is>
          <t>—</t>
        </is>
      </c>
      <c r="K14" s="26" t="inlineStr">
        <is>
          <t>remotes/origin/dependabot/*</t>
        </is>
      </c>
    </row>
    <row r="15">
      <c r="A15" s="2" t="n">
        <v>14</v>
      </c>
      <c r="B15" s="4" t="inlineStr">
        <is>
          <t>Scadenzario</t>
        </is>
      </c>
      <c r="C15" s="4" t="inlineStr">
        <is>
          <t>Email ai singoli referenti invece dei destinatari fissi EMAIL_A</t>
        </is>
      </c>
      <c r="D15" s="2" t="inlineStr">
        <is>
          <t>Sviluppo</t>
        </is>
      </c>
      <c r="E15" s="4" t="inlineStr">
        <is>
          <t>Dev + Claude</t>
        </is>
      </c>
      <c r="F15" s="23" t="n">
        <v>1</v>
      </c>
      <c r="G15" s="24" t="n">
        <v>0</v>
      </c>
      <c r="H15" s="24" t="n">
        <v>2</v>
      </c>
      <c r="I15" s="25" t="inlineStr">
        <is>
          <t>Da fare</t>
        </is>
      </c>
      <c r="J15" s="4" t="inlineStr">
        <is>
          <t>—</t>
        </is>
      </c>
      <c r="K15" s="26" t="inlineStr">
        <is>
          <t>scadenzario/README.md § Roadmap</t>
        </is>
      </c>
    </row>
    <row r="16">
      <c r="A16" s="2" t="n">
        <v>15</v>
      </c>
      <c r="B16" s="4" t="inlineStr">
        <is>
          <t>Scadenzario</t>
        </is>
      </c>
      <c r="C16" s="4" t="inlineStr">
        <is>
          <t>Scelta del provider WhatsApp (oggi stub disattivato)</t>
        </is>
      </c>
      <c r="D16" s="2" t="inlineStr">
        <is>
          <t>Decisione</t>
        </is>
      </c>
      <c r="E16" s="4" t="inlineStr">
        <is>
          <t>Direzione</t>
        </is>
      </c>
      <c r="F16" s="23" t="n">
        <v>0</v>
      </c>
      <c r="G16" s="24" t="n">
        <v>10</v>
      </c>
      <c r="H16" s="24" t="n">
        <v>3</v>
      </c>
      <c r="I16" s="25" t="inlineStr">
        <is>
          <t>Da fare</t>
        </is>
      </c>
      <c r="J16" s="4" t="inlineStr">
        <is>
          <t>—</t>
        </is>
      </c>
      <c r="K16" s="26" t="inlineStr">
        <is>
          <t>scadenzario/README.md § Roadmap</t>
        </is>
      </c>
    </row>
    <row r="17">
      <c r="A17" s="2" t="n">
        <v>16</v>
      </c>
      <c r="B17" s="4" t="inlineStr">
        <is>
          <t>Scadenzario</t>
        </is>
      </c>
      <c r="C17" s="4" t="inlineStr">
        <is>
          <t>Notifiche WhatsApp reali con il provider scelto</t>
        </is>
      </c>
      <c r="D17" s="2" t="inlineStr">
        <is>
          <t>Sviluppo</t>
        </is>
      </c>
      <c r="E17" s="4" t="inlineStr">
        <is>
          <t>Dev + Claude</t>
        </is>
      </c>
      <c r="F17" s="23" t="n">
        <v>2</v>
      </c>
      <c r="G17" s="24" t="n">
        <v>0</v>
      </c>
      <c r="H17" s="24" t="n">
        <v>3</v>
      </c>
      <c r="I17" s="25" t="inlineStr">
        <is>
          <t>Da fare</t>
        </is>
      </c>
      <c r="J17" s="4" t="inlineStr">
        <is>
          <t>Decisione provider</t>
        </is>
      </c>
      <c r="K17" s="26" t="inlineStr">
        <is>
          <t>scadenzario/README.md § Roadmap</t>
        </is>
      </c>
    </row>
    <row r="18">
      <c r="A18" s="2" t="n">
        <v>17</v>
      </c>
      <c r="B18" s="4" t="inlineStr">
        <is>
          <t>Scadenzario</t>
        </is>
      </c>
      <c r="C18" s="4" t="inlineStr">
        <is>
          <t>OCR attestati per precompilare le scadenze (riuso pipeline Tesseract)</t>
        </is>
      </c>
      <c r="D18" s="2" t="inlineStr">
        <is>
          <t>Sviluppo</t>
        </is>
      </c>
      <c r="E18" s="4" t="inlineStr">
        <is>
          <t>Dev + Claude</t>
        </is>
      </c>
      <c r="F18" s="23" t="n">
        <v>3</v>
      </c>
      <c r="G18" s="24" t="n">
        <v>0</v>
      </c>
      <c r="H18" s="24" t="n">
        <v>3</v>
      </c>
      <c r="I18" s="25" t="inlineStr">
        <is>
          <t>Da fare</t>
        </is>
      </c>
      <c r="J18" s="4" t="inlineStr">
        <is>
          <t>—</t>
        </is>
      </c>
      <c r="K18" s="26" t="inlineStr">
        <is>
          <t>scadenzario/README.md § Roadmap</t>
        </is>
      </c>
    </row>
    <row r="19">
      <c r="A19" s="2" t="n">
        <v>18</v>
      </c>
      <c r="B19" s="4" t="inlineStr">
        <is>
          <t>Scadenzario</t>
        </is>
      </c>
      <c r="C19" s="4" t="inlineStr">
        <is>
          <t>Unire PR Dependabot (openpyxl, pytest)</t>
        </is>
      </c>
      <c r="D19" s="2" t="inlineStr">
        <is>
          <t>Sviluppo</t>
        </is>
      </c>
      <c r="E19" s="4" t="inlineStr">
        <is>
          <t>Dev + Claude</t>
        </is>
      </c>
      <c r="F19" s="23" t="n">
        <v>0.5</v>
      </c>
      <c r="G19" s="24" t="n">
        <v>0</v>
      </c>
      <c r="H19" s="24" t="n">
        <v>3</v>
      </c>
      <c r="I19" s="25" t="inlineStr">
        <is>
          <t>Da fare</t>
        </is>
      </c>
      <c r="J19" s="4" t="inlineStr">
        <is>
          <t>—</t>
        </is>
      </c>
      <c r="K19" s="26" t="inlineStr">
        <is>
          <t>remotes/origin/dependabot/pip/*</t>
        </is>
      </c>
    </row>
    <row r="20">
      <c r="A20" s="2" t="n">
        <v>19</v>
      </c>
      <c r="B20" s="4" t="inlineStr">
        <is>
          <t>Verifica Requisiti</t>
        </is>
      </c>
      <c r="C20" s="4" t="inlineStr">
        <is>
          <t>Collegare PaddleOCR (spawn worker Python, una pagina per volta) e/o Claude vision</t>
        </is>
      </c>
      <c r="D20" s="2" t="inlineStr">
        <is>
          <t>Sviluppo</t>
        </is>
      </c>
      <c r="E20" s="4" t="inlineStr">
        <is>
          <t>Dev + Claude</t>
        </is>
      </c>
      <c r="F20" s="23" t="n">
        <v>3</v>
      </c>
      <c r="G20" s="24" t="n">
        <v>0</v>
      </c>
      <c r="H20" s="24" t="n">
        <v>2</v>
      </c>
      <c r="I20" s="25" t="inlineStr">
        <is>
          <t>Da fare</t>
        </is>
      </c>
      <c r="J20" s="4" t="inlineStr">
        <is>
          <t>Sblocco WDAC se Paddle</t>
        </is>
      </c>
      <c r="K20" s="26" t="inlineStr">
        <is>
          <t>verifica-requisiti/README.md § Da fare</t>
        </is>
      </c>
    </row>
    <row r="21">
      <c r="A21" s="2" t="n">
        <v>20</v>
      </c>
      <c r="B21" s="4" t="inlineStr">
        <is>
          <t>Verifica Requisiti</t>
        </is>
      </c>
      <c r="C21" s="4" t="inlineStr">
        <is>
          <t>Confidenza per pagina da Tesseract (tsv) per la soglia CONFIDENZA_MINIMA</t>
        </is>
      </c>
      <c r="D21" s="2" t="inlineStr">
        <is>
          <t>Sviluppo</t>
        </is>
      </c>
      <c r="E21" s="4" t="inlineStr">
        <is>
          <t>Dev + Claude</t>
        </is>
      </c>
      <c r="F21" s="23" t="n">
        <v>1</v>
      </c>
      <c r="G21" s="24" t="n">
        <v>0</v>
      </c>
      <c r="H21" s="24" t="n">
        <v>2</v>
      </c>
      <c r="I21" s="25" t="inlineStr">
        <is>
          <t>Da fare</t>
        </is>
      </c>
      <c r="J21" s="4" t="inlineStr">
        <is>
          <t>—</t>
        </is>
      </c>
      <c r="K21" s="26" t="inlineStr">
        <is>
          <t>verifica-requisiti/README.md § Da fare</t>
        </is>
      </c>
    </row>
    <row r="22">
      <c r="A22" s="2" t="n">
        <v>21</v>
      </c>
      <c r="B22" s="4" t="inlineStr">
        <is>
          <t>Verifica Requisiti</t>
        </is>
      </c>
      <c r="C22" s="4" t="inlineStr">
        <is>
          <t>Editor a campi per le checklist (oggi JSON a mano)</t>
        </is>
      </c>
      <c r="D22" s="2" t="inlineStr">
        <is>
          <t>Sviluppo</t>
        </is>
      </c>
      <c r="E22" s="4" t="inlineStr">
        <is>
          <t>Dev + Claude</t>
        </is>
      </c>
      <c r="F22" s="23" t="n">
        <v>3</v>
      </c>
      <c r="G22" s="24" t="n">
        <v>0</v>
      </c>
      <c r="H22" s="24" t="n">
        <v>2</v>
      </c>
      <c r="I22" s="25" t="inlineStr">
        <is>
          <t>Da fare</t>
        </is>
      </c>
      <c r="J22" s="4" t="inlineStr">
        <is>
          <t>—</t>
        </is>
      </c>
      <c r="K22" s="26" t="inlineStr">
        <is>
          <t>verifica-requisiti/README.md § Da fare</t>
        </is>
      </c>
    </row>
    <row r="23">
      <c r="A23" s="2" t="n">
        <v>22</v>
      </c>
      <c r="B23" s="4" t="inlineStr">
        <is>
          <t>Verifica Requisiti</t>
        </is>
      </c>
      <c r="C23" s="4" t="inlineStr">
        <is>
          <t>Test di integrazione delle rotte HTTP</t>
        </is>
      </c>
      <c r="D23" s="2" t="inlineStr">
        <is>
          <t>Sviluppo</t>
        </is>
      </c>
      <c r="E23" s="4" t="inlineStr">
        <is>
          <t>Dev + Claude</t>
        </is>
      </c>
      <c r="F23" s="23" t="n">
        <v>1</v>
      </c>
      <c r="G23" s="24" t="n">
        <v>0</v>
      </c>
      <c r="H23" s="24" t="n">
        <v>2</v>
      </c>
      <c r="I23" s="25" t="inlineStr">
        <is>
          <t>Da fare</t>
        </is>
      </c>
      <c r="J23" s="4" t="inlineStr">
        <is>
          <t>—</t>
        </is>
      </c>
      <c r="K23" s="26" t="inlineStr">
        <is>
          <t>verifica-requisiti/README.md § Da fare</t>
        </is>
      </c>
    </row>
    <row r="24">
      <c r="A24" s="2" t="n">
        <v>23</v>
      </c>
      <c r="B24" s="4" t="inlineStr">
        <is>
          <t>Verifica Requisiti</t>
        </is>
      </c>
      <c r="C24" s="4" t="inlineStr">
        <is>
          <t>Unire PR Dependabot (express-rate-limit, pdfjs-dist, sviluppo)</t>
        </is>
      </c>
      <c r="D24" s="2" t="inlineStr">
        <is>
          <t>Sviluppo</t>
        </is>
      </c>
      <c r="E24" s="4" t="inlineStr">
        <is>
          <t>Dev + Claude</t>
        </is>
      </c>
      <c r="F24" s="23" t="n">
        <v>0.5</v>
      </c>
      <c r="G24" s="24" t="n">
        <v>0</v>
      </c>
      <c r="H24" s="24" t="n">
        <v>3</v>
      </c>
      <c r="I24" s="25" t="inlineStr">
        <is>
          <t>Da fare</t>
        </is>
      </c>
      <c r="J24" s="4" t="inlineStr">
        <is>
          <t>—</t>
        </is>
      </c>
      <c r="K24" s="26" t="inlineStr">
        <is>
          <t>remotes/origin/dependabot/*</t>
        </is>
      </c>
    </row>
    <row r="25">
      <c r="A25" s="2" t="n">
        <v>24</v>
      </c>
      <c r="B25" s="4" t="inlineStr">
        <is>
          <t>InCampo</t>
        </is>
      </c>
      <c r="C25" s="4" t="inlineStr">
        <is>
          <t>Server Linux con Docker (2 vCPU, 4 GB, 50 GB), DNS incampo/staging-incampo.cosedilspa.com, porte 80/443</t>
        </is>
      </c>
      <c r="D25" s="2" t="inlineStr">
        <is>
          <t>IT</t>
        </is>
      </c>
      <c r="E25" s="4" t="inlineStr">
        <is>
          <t>IT</t>
        </is>
      </c>
      <c r="F25" s="23" t="n">
        <v>0</v>
      </c>
      <c r="G25" s="24" t="n">
        <v>10</v>
      </c>
      <c r="H25" s="24" t="n">
        <v>1</v>
      </c>
      <c r="I25" s="25" t="inlineStr">
        <is>
          <t>Da fare</t>
        </is>
      </c>
      <c r="J25" s="4" t="inlineStr">
        <is>
          <t>—</t>
        </is>
      </c>
      <c r="K25" s="26" t="inlineStr">
        <is>
          <t>incampo/docs/rilascio.md</t>
        </is>
      </c>
    </row>
    <row r="26">
      <c r="A26" s="2" t="n">
        <v>25</v>
      </c>
      <c r="B26" s="4" t="inlineStr">
        <is>
          <t>InCampo</t>
        </is>
      </c>
      <c r="C26" s="4" t="inlineStr">
        <is>
          <t>Deploy staging + produzione: .env, SMTP aziendale, storage, compose prod, primo admin</t>
        </is>
      </c>
      <c r="D26" s="2" t="inlineStr">
        <is>
          <t>Sviluppo</t>
        </is>
      </c>
      <c r="E26" s="4" t="inlineStr">
        <is>
          <t>Dev + Claude</t>
        </is>
      </c>
      <c r="F26" s="23" t="n">
        <v>1</v>
      </c>
      <c r="G26" s="24" t="n">
        <v>0</v>
      </c>
      <c r="H26" s="24" t="n">
        <v>1</v>
      </c>
      <c r="I26" s="25" t="inlineStr">
        <is>
          <t>Da fare</t>
        </is>
      </c>
      <c r="J26" s="4" t="inlineStr">
        <is>
          <t>Server Linux</t>
        </is>
      </c>
      <c r="K26" s="26" t="inlineStr">
        <is>
          <t>incampo/docs/rilascio.md</t>
        </is>
      </c>
    </row>
    <row r="27">
      <c r="A27" s="2" t="n">
        <v>26</v>
      </c>
      <c r="B27" s="4" t="inlineStr">
        <is>
          <t>InCampo</t>
        </is>
      </c>
      <c r="C27" s="4" t="inlineStr">
        <is>
          <t>Backup fuori server (NAS/rclone) + prova di ripristino + monitoraggio esterno healthz</t>
        </is>
      </c>
      <c r="D27" s="2" t="inlineStr">
        <is>
          <t>IT</t>
        </is>
      </c>
      <c r="E27" s="4" t="inlineStr">
        <is>
          <t>IT</t>
        </is>
      </c>
      <c r="F27" s="23" t="n">
        <v>0.5</v>
      </c>
      <c r="G27" s="24" t="n">
        <v>3</v>
      </c>
      <c r="H27" s="24" t="n">
        <v>2</v>
      </c>
      <c r="I27" s="25" t="inlineStr">
        <is>
          <t>Da fare</t>
        </is>
      </c>
      <c r="J27" s="4" t="inlineStr">
        <is>
          <t>Server Linux</t>
        </is>
      </c>
      <c r="K27" s="26" t="inlineStr">
        <is>
          <t>incampo/docs/rilascio.md</t>
        </is>
      </c>
    </row>
    <row r="28">
      <c r="A28" s="2" t="n">
        <v>27</v>
      </c>
      <c r="B28" s="4" t="inlineStr">
        <is>
          <t>InCampo</t>
        </is>
      </c>
      <c r="C28" s="4" t="inlineStr">
        <is>
          <t>Account Expo aziendale, progetto Firebase per push, logo ufficiale 1024 px</t>
        </is>
      </c>
      <c r="D28" s="2" t="inlineStr">
        <is>
          <t>IT</t>
        </is>
      </c>
      <c r="E28" s="4" t="inlineStr">
        <is>
          <t>IT / Marketing</t>
        </is>
      </c>
      <c r="F28" s="23" t="n">
        <v>0</v>
      </c>
      <c r="G28" s="24" t="n">
        <v>5</v>
      </c>
      <c r="H28" s="24" t="n">
        <v>1</v>
      </c>
      <c r="I28" s="25" t="inlineStr">
        <is>
          <t>Da fare</t>
        </is>
      </c>
      <c r="J28" s="4" t="inlineStr">
        <is>
          <t>—</t>
        </is>
      </c>
      <c r="K28" s="26" t="inlineStr">
        <is>
          <t>incampo/docs/rilascio.md</t>
        </is>
      </c>
    </row>
    <row r="29">
      <c r="A29" s="2" t="n">
        <v>28</v>
      </c>
      <c r="B29" s="4" t="inlineStr">
        <is>
          <t>InCampo</t>
        </is>
      </c>
      <c r="C29" s="4" t="inlineStr">
        <is>
          <t>Build EAS preview Android e verifica su device reale (camera, firma, GPS, sync in background)</t>
        </is>
      </c>
      <c r="D29" s="2" t="inlineStr">
        <is>
          <t>Test sul campo</t>
        </is>
      </c>
      <c r="E29" s="4" t="inlineStr">
        <is>
          <t>Dev + utenti</t>
        </is>
      </c>
      <c r="F29" s="23" t="n">
        <v>1</v>
      </c>
      <c r="G29" s="24" t="n">
        <v>1</v>
      </c>
      <c r="H29" s="24" t="n">
        <v>1</v>
      </c>
      <c r="I29" s="25" t="inlineStr">
        <is>
          <t>Da fare</t>
        </is>
      </c>
      <c r="J29" s="4" t="inlineStr">
        <is>
          <t>Account Expo</t>
        </is>
      </c>
      <c r="K29" s="26" t="inlineStr">
        <is>
          <t>incampo/docs/test-sul-campo.md</t>
        </is>
      </c>
    </row>
    <row r="30">
      <c r="A30" s="2" t="n">
        <v>29</v>
      </c>
      <c r="B30" s="4" t="inlineStr">
        <is>
          <t>InCampo</t>
        </is>
      </c>
      <c r="C30" s="4" t="inlineStr">
        <is>
          <t>Pilota su un cantiere (pochi utenti, 1-2 settimane) + formazione con le guide</t>
        </is>
      </c>
      <c r="D30" s="2" t="inlineStr">
        <is>
          <t>Test sul campo</t>
        </is>
      </c>
      <c r="E30" s="4" t="inlineStr">
        <is>
          <t>Utenti pilota</t>
        </is>
      </c>
      <c r="F30" s="23" t="n">
        <v>1</v>
      </c>
      <c r="G30" s="24" t="n">
        <v>10</v>
      </c>
      <c r="H30" s="24" t="n">
        <v>1</v>
      </c>
      <c r="I30" s="25" t="inlineStr">
        <is>
          <t>Da fare</t>
        </is>
      </c>
      <c r="J30" s="4" t="inlineStr">
        <is>
          <t>Build EAS + staging</t>
        </is>
      </c>
      <c r="K30" s="26" t="inlineStr">
        <is>
          <t>incampo/docs/rilascio.md</t>
        </is>
      </c>
    </row>
    <row r="31">
      <c r="A31" s="2" t="n">
        <v>30</v>
      </c>
      <c r="B31" s="4" t="inlineStr">
        <is>
          <t>InCampo</t>
        </is>
      </c>
      <c r="C31" s="4" t="inlineStr">
        <is>
          <t>Export PDF della submission (report ispezione firmato) e CSV task</t>
        </is>
      </c>
      <c r="D31" s="2" t="inlineStr">
        <is>
          <t>Sviluppo</t>
        </is>
      </c>
      <c r="E31" s="4" t="inlineStr">
        <is>
          <t>Dev + Claude</t>
        </is>
      </c>
      <c r="F31" s="23" t="n">
        <v>2</v>
      </c>
      <c r="G31" s="24" t="n">
        <v>0</v>
      </c>
      <c r="H31" s="24" t="n">
        <v>3</v>
      </c>
      <c r="I31" s="25" t="inlineStr">
        <is>
          <t>Da fare</t>
        </is>
      </c>
      <c r="J31" s="4" t="inlineStr">
        <is>
          <t>—</t>
        </is>
      </c>
      <c r="K31" s="26" t="inlineStr">
        <is>
          <t>incampo/docs/retrospettiva.md § Backlog</t>
        </is>
      </c>
    </row>
    <row r="32">
      <c r="A32" s="2" t="n">
        <v>31</v>
      </c>
      <c r="B32" s="4" t="inlineStr">
        <is>
          <t>InCampo</t>
        </is>
      </c>
      <c r="C32" s="4" t="inlineStr">
        <is>
          <t>Notifiche in-app (badge, lista) e digest giornaliero email</t>
        </is>
      </c>
      <c r="D32" s="2" t="inlineStr">
        <is>
          <t>Sviluppo</t>
        </is>
      </c>
      <c r="E32" s="4" t="inlineStr">
        <is>
          <t>Dev + Claude</t>
        </is>
      </c>
      <c r="F32" s="23" t="n">
        <v>2</v>
      </c>
      <c r="G32" s="24" t="n">
        <v>0</v>
      </c>
      <c r="H32" s="24" t="n">
        <v>3</v>
      </c>
      <c r="I32" s="25" t="inlineStr">
        <is>
          <t>Da fare</t>
        </is>
      </c>
      <c r="J32" s="4" t="inlineStr">
        <is>
          <t>—</t>
        </is>
      </c>
      <c r="K32" s="26" t="inlineStr">
        <is>
          <t>incampo/docs/retrospettiva.md § Backlog</t>
        </is>
      </c>
    </row>
    <row r="33">
      <c r="A33" s="2" t="n">
        <v>32</v>
      </c>
      <c r="B33" s="4" t="inlineStr">
        <is>
          <t>InCampo</t>
        </is>
      </c>
      <c r="C33" s="4" t="inlineStr">
        <is>
          <t>Unire PR Dependabot (react-router-dom, plugin-react, boto3, pypdfium2)</t>
        </is>
      </c>
      <c r="D33" s="2" t="inlineStr">
        <is>
          <t>Sviluppo</t>
        </is>
      </c>
      <c r="E33" s="4" t="inlineStr">
        <is>
          <t>Dev + Claude</t>
        </is>
      </c>
      <c r="F33" s="23" t="n">
        <v>0.5</v>
      </c>
      <c r="G33" s="24" t="n">
        <v>0</v>
      </c>
      <c r="H33" s="24" t="n">
        <v>3</v>
      </c>
      <c r="I33" s="25" t="inlineStr">
        <is>
          <t>Da fare</t>
        </is>
      </c>
      <c r="J33" s="4" t="inlineStr">
        <is>
          <t>—</t>
        </is>
      </c>
      <c r="K33" s="26" t="inlineStr">
        <is>
          <t>remotes/origin/dependabot/*</t>
        </is>
      </c>
    </row>
    <row r="34">
      <c r="A34" s="2" t="n">
        <v>33</v>
      </c>
      <c r="B34" s="4" t="inlineStr">
        <is>
          <t>SkyTower (CDE)</t>
        </is>
      </c>
      <c r="C34" s="4" t="inlineStr">
        <is>
          <t>Decisione: licenza Autodesk APS per il viewer DWG</t>
        </is>
      </c>
      <c r="D34" s="2" t="inlineStr">
        <is>
          <t>Decisione</t>
        </is>
      </c>
      <c r="E34" s="4" t="inlineStr">
        <is>
          <t>Direzione</t>
        </is>
      </c>
      <c r="F34" s="23" t="n">
        <v>0</v>
      </c>
      <c r="G34" s="24" t="n">
        <v>10</v>
      </c>
      <c r="H34" s="24" t="n">
        <v>2</v>
      </c>
      <c r="I34" s="25" t="inlineStr">
        <is>
          <t>Da fare</t>
        </is>
      </c>
      <c r="J34" s="4" t="inlineStr">
        <is>
          <t>—</t>
        </is>
      </c>
      <c r="K34" s="26" t="inlineStr">
        <is>
          <t>passaggio-chat.md § Decisioni aperte</t>
        </is>
      </c>
    </row>
    <row r="35">
      <c r="A35" s="2" t="n">
        <v>34</v>
      </c>
      <c r="B35" s="4" t="inlineStr">
        <is>
          <t>SkyTower (CDE)</t>
        </is>
      </c>
      <c r="C35" s="4" t="inlineStr">
        <is>
          <t>Viewer DWG con APS (dopo la licenza)</t>
        </is>
      </c>
      <c r="D35" s="2" t="inlineStr">
        <is>
          <t>Sviluppo</t>
        </is>
      </c>
      <c r="E35" s="4" t="inlineStr">
        <is>
          <t>Dev + Claude</t>
        </is>
      </c>
      <c r="F35" s="23" t="n">
        <v>3</v>
      </c>
      <c r="G35" s="24" t="n">
        <v>0</v>
      </c>
      <c r="H35" s="24" t="n">
        <v>3</v>
      </c>
      <c r="I35" s="25" t="inlineStr">
        <is>
          <t>Da fare</t>
        </is>
      </c>
      <c r="J35" s="4" t="inlineStr">
        <is>
          <t>Licenza APS</t>
        </is>
      </c>
      <c r="K35" s="26" t="inlineStr">
        <is>
          <t>skytower/README.md § Stato (Sprint 5)</t>
        </is>
      </c>
    </row>
    <row r="36">
      <c r="A36" s="2" t="n">
        <v>35</v>
      </c>
      <c r="B36" s="4" t="inlineStr">
        <is>
          <t>SkyTower (CDE)</t>
        </is>
      </c>
      <c r="C36" s="4" t="inlineStr">
        <is>
          <t>Decisione: TSA qualificata eIDAS per CDE_TSA_URL (marca temporale del registro)</t>
        </is>
      </c>
      <c r="D36" s="2" t="inlineStr">
        <is>
          <t>Decisione</t>
        </is>
      </c>
      <c r="E36" s="4" t="inlineStr">
        <is>
          <t>Direzione</t>
        </is>
      </c>
      <c r="F36" s="23" t="n">
        <v>0</v>
      </c>
      <c r="G36" s="24" t="n">
        <v>10</v>
      </c>
      <c r="H36" s="24" t="n">
        <v>2</v>
      </c>
      <c r="I36" s="25" t="inlineStr">
        <is>
          <t>Da fare</t>
        </is>
      </c>
      <c r="J36" s="4" t="inlineStr">
        <is>
          <t>—</t>
        </is>
      </c>
      <c r="K36" s="26" t="inlineStr">
        <is>
          <t>passaggio-chat.md § Decisioni aperte</t>
        </is>
      </c>
    </row>
    <row r="37">
      <c r="A37" s="2" t="n">
        <v>36</v>
      </c>
      <c r="B37" s="4" t="inlineStr">
        <is>
          <t>SkyTower (CDE)</t>
        </is>
      </c>
      <c r="C37" s="4" t="inlineStr">
        <is>
          <t>Togliere dal repo la copia vecchia 'Torre di controllo - SkyTower/cde' (resta nella storia git)</t>
        </is>
      </c>
      <c r="D37" s="2" t="inlineStr">
        <is>
          <t>Decisione</t>
        </is>
      </c>
      <c r="E37" s="4" t="inlineStr">
        <is>
          <t>Direzione</t>
        </is>
      </c>
      <c r="F37" s="23" t="n">
        <v>0.5</v>
      </c>
      <c r="G37" s="24" t="n">
        <v>0</v>
      </c>
      <c r="H37" s="24" t="n">
        <v>3</v>
      </c>
      <c r="I37" s="25" t="inlineStr">
        <is>
          <t>Da fare</t>
        </is>
      </c>
      <c r="J37" s="4" t="inlineStr">
        <is>
          <t>Via libera dell'utente</t>
        </is>
      </c>
      <c r="K37" s="26" t="inlineStr">
        <is>
          <t>passaggio-chat.md § Decisioni aperte</t>
        </is>
      </c>
    </row>
    <row r="38">
      <c r="A38" s="2" t="n">
        <v>37</v>
      </c>
      <c r="B38" s="4" t="inlineStr">
        <is>
          <t>SkyTower (CDE)</t>
        </is>
      </c>
      <c r="C38" s="4" t="inlineStr">
        <is>
          <t>terraform apply di bootstrap e staging in AWS</t>
        </is>
      </c>
      <c r="D38" s="2" t="inlineStr">
        <is>
          <t>IT</t>
        </is>
      </c>
      <c r="E38" s="4" t="inlineStr">
        <is>
          <t>Dev + IT (account AWS)</t>
        </is>
      </c>
      <c r="F38" s="23" t="n">
        <v>2</v>
      </c>
      <c r="G38" s="24" t="n">
        <v>5</v>
      </c>
      <c r="H38" s="24" t="n">
        <v>1</v>
      </c>
      <c r="I38" s="25" t="inlineStr">
        <is>
          <t>Da fare</t>
        </is>
      </c>
      <c r="J38" s="4" t="inlineStr">
        <is>
          <t>Account AWS e budget</t>
        </is>
      </c>
      <c r="K38" s="26" t="inlineStr">
        <is>
          <t>passaggio-chat.md § Richiedono AWS</t>
        </is>
      </c>
    </row>
    <row r="39">
      <c r="A39" s="2" t="n">
        <v>38</v>
      </c>
      <c r="B39" s="4" t="inlineStr">
        <is>
          <t>SkyTower (CDE)</t>
        </is>
      </c>
      <c r="C39" s="4" t="inlineStr">
        <is>
          <t>Test di carico su staging (500 utenti, upload 1 GB, 1M documenti)</t>
        </is>
      </c>
      <c r="D39" s="2" t="inlineStr">
        <is>
          <t>Sviluppo</t>
        </is>
      </c>
      <c r="E39" s="4" t="inlineStr">
        <is>
          <t>Dev + Claude</t>
        </is>
      </c>
      <c r="F39" s="23" t="n">
        <v>2</v>
      </c>
      <c r="G39" s="24" t="n">
        <v>0</v>
      </c>
      <c r="H39" s="24" t="n">
        <v>1</v>
      </c>
      <c r="I39" s="25" t="inlineStr">
        <is>
          <t>Da fare</t>
        </is>
      </c>
      <c r="J39" s="4" t="inlineStr">
        <is>
          <t>Staging in AWS</t>
        </is>
      </c>
      <c r="K39" s="26" t="inlineStr">
        <is>
          <t>skytower/docs/prestazioni.md</t>
        </is>
      </c>
    </row>
    <row r="40">
      <c r="A40" s="2" t="n">
        <v>39</v>
      </c>
      <c r="B40" s="4" t="inlineStr">
        <is>
          <t>SkyTower (CDE)</t>
        </is>
      </c>
      <c r="C40" s="4" t="inlineStr">
        <is>
          <t>Pentest esterno (perimetro in docs/pentest.md) e correzioni</t>
        </is>
      </c>
      <c r="D40" s="2" t="inlineStr">
        <is>
          <t>Esterno</t>
        </is>
      </c>
      <c r="E40" s="4" t="inlineStr">
        <is>
          <t>Fornitore sicurezza</t>
        </is>
      </c>
      <c r="F40" s="23" t="n">
        <v>2</v>
      </c>
      <c r="G40" s="24" t="n">
        <v>15</v>
      </c>
      <c r="H40" s="24" t="n">
        <v>1</v>
      </c>
      <c r="I40" s="25" t="inlineStr">
        <is>
          <t>Da fare</t>
        </is>
      </c>
      <c r="J40" s="4" t="inlineStr">
        <is>
          <t>Staging in AWS</t>
        </is>
      </c>
      <c r="K40" s="26" t="inlineStr">
        <is>
          <t>skytower/docs/pentest.md</t>
        </is>
      </c>
    </row>
    <row r="41">
      <c r="A41" s="2" t="n">
        <v>40</v>
      </c>
      <c r="B41" s="4" t="inlineStr">
        <is>
          <t>SkyTower (CDE)</t>
        </is>
      </c>
      <c r="C41" s="4" t="inlineStr">
        <is>
          <t>UAT con gli utenti pilota (scenari U01-U38) e correzioni</t>
        </is>
      </c>
      <c r="D41" s="2" t="inlineStr">
        <is>
          <t>Test sul campo</t>
        </is>
      </c>
      <c r="E41" s="4" t="inlineStr">
        <is>
          <t>Utenti pilota</t>
        </is>
      </c>
      <c r="F41" s="23" t="n">
        <v>3</v>
      </c>
      <c r="G41" s="24" t="n">
        <v>10</v>
      </c>
      <c r="H41" s="24" t="n">
        <v>1</v>
      </c>
      <c r="I41" s="25" t="inlineStr">
        <is>
          <t>Da fare</t>
        </is>
      </c>
      <c r="J41" s="4" t="inlineStr">
        <is>
          <t>Staging in AWS</t>
        </is>
      </c>
      <c r="K41" s="26" t="inlineStr">
        <is>
          <t>skytower/docs/uat.md</t>
        </is>
      </c>
    </row>
    <row r="42">
      <c r="A42" s="2" t="n">
        <v>41</v>
      </c>
      <c r="B42" s="4" t="inlineStr">
        <is>
          <t>SkyTower (CDE)</t>
        </is>
      </c>
      <c r="C42" s="4" t="inlineStr">
        <is>
          <t>Rilascio in produzione (deploy-skytower.yml, smoke test, runbook DR)</t>
        </is>
      </c>
      <c r="D42" s="2" t="inlineStr">
        <is>
          <t>Sviluppo</t>
        </is>
      </c>
      <c r="E42" s="4" t="inlineStr">
        <is>
          <t>Dev + Claude</t>
        </is>
      </c>
      <c r="F42" s="23" t="n">
        <v>1</v>
      </c>
      <c r="G42" s="24" t="n">
        <v>0</v>
      </c>
      <c r="H42" s="24" t="n">
        <v>1</v>
      </c>
      <c r="I42" s="25" t="inlineStr">
        <is>
          <t>Da fare</t>
        </is>
      </c>
      <c r="J42" s="4" t="inlineStr">
        <is>
          <t>Pentest + UAT</t>
        </is>
      </c>
      <c r="K42" s="26" t="inlineStr">
        <is>
          <t>skytower/docs/runbook.md</t>
        </is>
      </c>
    </row>
    <row r="43">
      <c r="A43" s="2" t="n">
        <v>42</v>
      </c>
      <c r="B43" s="4" t="inlineStr">
        <is>
          <t>SkyTower (CDE)</t>
        </is>
      </c>
      <c r="C43" s="4" t="inlineStr">
        <is>
          <t>Stabilizzare e2e 'rinomina' (fallito una volta nel giro completo)</t>
        </is>
      </c>
      <c r="D43" s="2" t="inlineStr">
        <is>
          <t>Sviluppo</t>
        </is>
      </c>
      <c r="E43" s="4" t="inlineStr">
        <is>
          <t>Dev + Claude</t>
        </is>
      </c>
      <c r="F43" s="23" t="n">
        <v>0.5</v>
      </c>
      <c r="G43" s="24" t="n">
        <v>0</v>
      </c>
      <c r="H43" s="24" t="n">
        <v>3</v>
      </c>
      <c r="I43" s="25" t="inlineStr">
        <is>
          <t>Da fare</t>
        </is>
      </c>
      <c r="J43" s="4" t="inlineStr">
        <is>
          <t>—</t>
        </is>
      </c>
      <c r="K43" s="26" t="inlineStr">
        <is>
          <t>passaggio-chat.md § Sessione 5</t>
        </is>
      </c>
    </row>
    <row r="44">
      <c r="A44" s="2" t="n">
        <v>43</v>
      </c>
      <c r="B44" s="4" t="inlineStr">
        <is>
          <t>SkyTower (CDE)</t>
        </is>
      </c>
      <c r="C44" s="4" t="inlineStr">
        <is>
          <t>Unire il branch feat/estrazione-dms in main (210 commit SkyTower)</t>
        </is>
      </c>
      <c r="D44" s="2" t="inlineStr">
        <is>
          <t>Sviluppo</t>
        </is>
      </c>
      <c r="E44" s="4" t="inlineStr">
        <is>
          <t>Dev + Claude</t>
        </is>
      </c>
      <c r="F44" s="23" t="n">
        <v>0.5</v>
      </c>
      <c r="G44" s="24" t="n">
        <v>0</v>
      </c>
      <c r="H44" s="24" t="n">
        <v>1</v>
      </c>
      <c r="I44" s="25" t="inlineStr">
        <is>
          <t>Da fare</t>
        </is>
      </c>
      <c r="J44" s="4" t="inlineStr">
        <is>
          <t>—</t>
        </is>
      </c>
      <c r="K44" s="26" t="inlineStr">
        <is>
          <t>git branch</t>
        </is>
      </c>
    </row>
    <row r="45">
      <c r="A45" s="2" t="n">
        <v>44</v>
      </c>
      <c r="B45" s="4" t="inlineStr">
        <is>
          <t>Ponte Trimble</t>
        </is>
      </c>
      <c r="C45" s="4" t="inlineStr">
        <is>
          <t>Ponte verso ocr-documenti per i PDF scansionati (10 su 11 nel corpus reale)</t>
        </is>
      </c>
      <c r="D45" s="2" t="inlineStr">
        <is>
          <t>Sviluppo</t>
        </is>
      </c>
      <c r="E45" s="4" t="inlineStr">
        <is>
          <t>Dev + Claude</t>
        </is>
      </c>
      <c r="F45" s="23" t="n">
        <v>3</v>
      </c>
      <c r="G45" s="24" t="n">
        <v>0</v>
      </c>
      <c r="H45" s="24" t="n">
        <v>1</v>
      </c>
      <c r="I45" s="25" t="inlineStr">
        <is>
          <t>Bloccato</t>
        </is>
      </c>
      <c r="J45" s="4" t="inlineStr">
        <is>
          <t>Sblocco WDAC su OCR Documenti</t>
        </is>
      </c>
      <c r="K45" s="26" t="inlineStr">
        <is>
          <t>ponte-trimble/README.md § Da fare prima della produzione</t>
        </is>
      </c>
    </row>
    <row r="46">
      <c r="A46" s="2" t="n">
        <v>45</v>
      </c>
      <c r="B46" s="4" t="inlineStr">
        <is>
          <t>Ponte Trimble</t>
        </is>
      </c>
      <c r="C46" s="4" t="inlineStr">
        <is>
          <t>Operazioni del WSDL Field View oltre AddForm (risposte dei controlli)</t>
        </is>
      </c>
      <c r="D46" s="2" t="inlineStr">
        <is>
          <t>Sviluppo</t>
        </is>
      </c>
      <c r="E46" s="4" t="inlineStr">
        <is>
          <t>Dev + Claude</t>
        </is>
      </c>
      <c r="F46" s="23" t="n">
        <v>3</v>
      </c>
      <c r="G46" s="24" t="n">
        <v>0</v>
      </c>
      <c r="H46" s="24" t="n">
        <v>2</v>
      </c>
      <c r="I46" s="25" t="inlineStr">
        <is>
          <t>Da fare</t>
        </is>
      </c>
      <c r="J46" s="4" t="inlineStr">
        <is>
          <t>—</t>
        </is>
      </c>
      <c r="K46" s="26" t="inlineStr">
        <is>
          <t>ponte-trimble/README.md § Da fare prima della produzione</t>
        </is>
      </c>
    </row>
    <row r="47">
      <c r="A47" s="2" t="n">
        <v>46</v>
      </c>
      <c r="B47" s="4" t="inlineStr">
        <is>
          <t>Ponte Trimble</t>
        </is>
      </c>
      <c r="C47" s="4" t="inlineStr">
        <is>
          <t>Token e id reali FIELDVIEW_* e prima chiamata sul tenant Trimble</t>
        </is>
      </c>
      <c r="D47" s="2" t="inlineStr">
        <is>
          <t>Esterno</t>
        </is>
      </c>
      <c r="E47" s="4" t="inlineStr">
        <is>
          <t>Trimble / IT</t>
        </is>
      </c>
      <c r="F47" s="23" t="n">
        <v>1</v>
      </c>
      <c r="G47" s="24" t="n">
        <v>10</v>
      </c>
      <c r="H47" s="24" t="n">
        <v>1</v>
      </c>
      <c r="I47" s="25" t="inlineStr">
        <is>
          <t>Da fare</t>
        </is>
      </c>
      <c r="J47" s="4" t="inlineStr">
        <is>
          <t>Credenziali Trimble</t>
        </is>
      </c>
      <c r="K47" s="26" t="inlineStr">
        <is>
          <t>ponte-trimble/README.md § Da fare prima della produzione</t>
        </is>
      </c>
    </row>
    <row r="48">
      <c r="A48" s="2" t="n">
        <v>47</v>
      </c>
      <c r="B48" s="4" t="inlineStr">
        <is>
          <t>Ponte Trimble</t>
        </is>
      </c>
      <c r="C48" s="4" t="inlineStr">
        <is>
          <t>Unire PR Dependabot (express, pdfjs-dist)</t>
        </is>
      </c>
      <c r="D48" s="2" t="inlineStr">
        <is>
          <t>Sviluppo</t>
        </is>
      </c>
      <c r="E48" s="4" t="inlineStr">
        <is>
          <t>Dev + Claude</t>
        </is>
      </c>
      <c r="F48" s="23" t="n">
        <v>0.5</v>
      </c>
      <c r="G48" s="24" t="n">
        <v>0</v>
      </c>
      <c r="H48" s="24" t="n">
        <v>3</v>
      </c>
      <c r="I48" s="25" t="inlineStr">
        <is>
          <t>Da fare</t>
        </is>
      </c>
      <c r="J48" s="4" t="inlineStr">
        <is>
          <t>—</t>
        </is>
      </c>
      <c r="K48" s="26" t="inlineStr">
        <is>
          <t>remotes/origin/dependabot/*</t>
        </is>
      </c>
    </row>
    <row r="49">
      <c r="A49" s="2" t="n">
        <v>48</v>
      </c>
      <c r="B49" s="4" t="inlineStr">
        <is>
          <t>Auguri</t>
        </is>
      </c>
      <c r="C49" s="4" t="inlineStr">
        <is>
          <t>Aggiornare express 5.3.0 (Dependabot) in una finestra con l'app ferma</t>
        </is>
      </c>
      <c r="D49" s="2" t="inlineStr">
        <is>
          <t>Sviluppo</t>
        </is>
      </c>
      <c r="E49" s="4" t="inlineStr">
        <is>
          <t>Dev + Claude</t>
        </is>
      </c>
      <c r="F49" s="23" t="n">
        <v>0.5</v>
      </c>
      <c r="G49" s="24" t="n">
        <v>0</v>
      </c>
      <c r="H49" s="24" t="n">
        <v>3</v>
      </c>
      <c r="I49" s="25" t="inlineStr">
        <is>
          <t>Da fare</t>
        </is>
      </c>
      <c r="J49" s="4" t="inlineStr">
        <is>
          <t>Finestra di fermo</t>
        </is>
      </c>
      <c r="K49" s="26" t="inlineStr">
        <is>
          <t>README.md § Auguri: aggiornamenti a mano</t>
        </is>
      </c>
    </row>
    <row r="50">
      <c r="A50" s="2" t="n">
        <v>49</v>
      </c>
      <c r="B50" s="4" t="inlineStr">
        <is>
          <t>VFP Transfer (DMS → Viewpoint)</t>
        </is>
      </c>
      <c r="C50" s="4" t="inlineStr">
        <is>
          <t>Verificare, testare e committare il blocco 'Mezzi a nolo' (mezzi.py, modelli_doc.py, ui/js/mezzi.js + 9 file modificati)</t>
        </is>
      </c>
      <c r="D50" s="2" t="inlineStr">
        <is>
          <t>Sviluppo</t>
        </is>
      </c>
      <c r="E50" s="4" t="inlineStr">
        <is>
          <t>Dev + Claude</t>
        </is>
      </c>
      <c r="F50" s="23" t="n">
        <v>1</v>
      </c>
      <c r="G50" s="24" t="n">
        <v>0</v>
      </c>
      <c r="H50" s="24" t="n">
        <v>1</v>
      </c>
      <c r="I50" s="25" t="inlineStr">
        <is>
          <t>In corso</t>
        </is>
      </c>
      <c r="J50" s="4" t="inlineStr">
        <is>
          <t>—</t>
        </is>
      </c>
      <c r="K50" s="26" t="inlineStr">
        <is>
          <t>git status</t>
        </is>
      </c>
    </row>
    <row r="51">
      <c r="A51" s="2" t="n">
        <v>50</v>
      </c>
      <c r="B51" s="4" t="inlineStr">
        <is>
          <t>VFP Transfer (DMS → Viewpoint)</t>
        </is>
      </c>
      <c r="C51" s="4" t="inlineStr">
        <is>
          <t>Nolo a caldo e righe INPS/INAIL a puntini nei format contrattuali</t>
        </is>
      </c>
      <c r="D51" s="2" t="inlineStr">
        <is>
          <t>Sviluppo</t>
        </is>
      </c>
      <c r="E51" s="4" t="inlineStr">
        <is>
          <t>Dev + Claude</t>
        </is>
      </c>
      <c r="F51" s="23" t="n">
        <v>1</v>
      </c>
      <c r="G51" s="24" t="n">
        <v>0</v>
      </c>
      <c r="H51" s="24" t="n">
        <v>2</v>
      </c>
      <c r="I51" s="25" t="inlineStr">
        <is>
          <t>Da fare</t>
        </is>
      </c>
      <c r="J51" s="4" t="inlineStr">
        <is>
          <t>Format veri in Contratti/Modelli Word</t>
        </is>
      </c>
      <c r="K51" s="26" t="inlineStr">
        <is>
          <t>CLAUDE.md § Stato</t>
        </is>
      </c>
    </row>
    <row r="52">
      <c r="A52" s="2" t="n">
        <v>51</v>
      </c>
      <c r="B52" s="4" t="inlineStr">
        <is>
          <t>VFP Transfer (DMS → Viewpoint)</t>
        </is>
      </c>
      <c r="C52" s="4" t="inlineStr">
        <is>
          <t>Pagina 'Moduli' + API in vfp_gui.py (oggi solo logica + CLI)</t>
        </is>
      </c>
      <c r="D52" s="2" t="inlineStr">
        <is>
          <t>Sviluppo</t>
        </is>
      </c>
      <c r="E52" s="4" t="inlineStr">
        <is>
          <t>Dev + Claude</t>
        </is>
      </c>
      <c r="F52" s="23" t="n">
        <v>3</v>
      </c>
      <c r="G52" s="24" t="n">
        <v>0</v>
      </c>
      <c r="H52" s="24" t="n">
        <v>2</v>
      </c>
      <c r="I52" s="25" t="inlineStr">
        <is>
          <t>Da fare</t>
        </is>
      </c>
      <c r="J52" s="4" t="inlineStr">
        <is>
          <t>Maschere vere dall'utente</t>
        </is>
      </c>
      <c r="K52" s="26" t="inlineStr">
        <is>
          <t>CLAUDE.md § Stato</t>
        </is>
      </c>
    </row>
    <row r="53">
      <c r="A53" s="2" t="n">
        <v>52</v>
      </c>
      <c r="B53" s="4" t="inlineStr">
        <is>
          <t>VFP Transfer (DMS → Viewpoint)</t>
        </is>
      </c>
      <c r="C53" s="4" t="inlineStr">
        <is>
          <t>GUI per i modelli Word protetti (oggi logica + CLI)</t>
        </is>
      </c>
      <c r="D53" s="2" t="inlineStr">
        <is>
          <t>Sviluppo</t>
        </is>
      </c>
      <c r="E53" s="4" t="inlineStr">
        <is>
          <t>Dev + Claude</t>
        </is>
      </c>
      <c r="F53" s="23" t="n">
        <v>2</v>
      </c>
      <c r="G53" s="24" t="n">
        <v>0</v>
      </c>
      <c r="H53" s="24" t="n">
        <v>2</v>
      </c>
      <c r="I53" s="25" t="inlineStr">
        <is>
          <t>Da fare</t>
        </is>
      </c>
      <c r="J53" s="4" t="inlineStr">
        <is>
          <t>—</t>
        </is>
      </c>
      <c r="K53" s="26" t="inlineStr">
        <is>
          <t>CLAUDE.md § Modelli Word protetti</t>
        </is>
      </c>
    </row>
    <row r="54">
      <c r="A54" s="2" t="n">
        <v>53</v>
      </c>
      <c r="B54" s="4" t="inlineStr">
        <is>
          <t>VFP Transfer (DMS → Viewpoint)</t>
        </is>
      </c>
      <c r="C54" s="4" t="inlineStr">
        <is>
          <t>Credenziali API VFP (client_id, scope offline_access) da Trimble/Viewpoint</t>
        </is>
      </c>
      <c r="D54" s="2" t="inlineStr">
        <is>
          <t>Esterno</t>
        </is>
      </c>
      <c r="E54" s="4" t="inlineStr">
        <is>
          <t>Trimble (support@4projects.com)</t>
        </is>
      </c>
      <c r="F54" s="23" t="n">
        <v>0</v>
      </c>
      <c r="G54" s="24" t="n">
        <v>15</v>
      </c>
      <c r="H54" s="24" t="n">
        <v>1</v>
      </c>
      <c r="I54" s="25" t="inlineStr">
        <is>
          <t>Da fare</t>
        </is>
      </c>
      <c r="J54" s="4" t="inlineStr">
        <is>
          <t>—</t>
        </is>
      </c>
      <c r="K54" s="26" t="inlineStr">
        <is>
          <t>CLAUDE.md § Stato</t>
        </is>
      </c>
    </row>
    <row r="55">
      <c r="A55" s="2" t="n">
        <v>54</v>
      </c>
      <c r="B55" s="4" t="inlineStr">
        <is>
          <t>VFP Transfer (DMS → Viewpoint)</t>
        </is>
      </c>
      <c r="C55" s="4" t="inlineStr">
        <is>
          <t>Prima prova reale contro VFP e Microsoft 365 (formato liste, token, scope)</t>
        </is>
      </c>
      <c r="D55" s="2" t="inlineStr">
        <is>
          <t>Sviluppo</t>
        </is>
      </c>
      <c r="E55" s="4" t="inlineStr">
        <is>
          <t>Dev + Claude</t>
        </is>
      </c>
      <c r="F55" s="23" t="n">
        <v>2</v>
      </c>
      <c r="G55" s="24" t="n">
        <v>0</v>
      </c>
      <c r="H55" s="24" t="n">
        <v>1</v>
      </c>
      <c r="I55" s="25" t="inlineStr">
        <is>
          <t>Da fare</t>
        </is>
      </c>
      <c r="J55" s="4" t="inlineStr">
        <is>
          <t>Credenziali VFP + app Azure</t>
        </is>
      </c>
      <c r="K55" s="26" t="inlineStr">
        <is>
          <t>CLAUDE.md § Stato</t>
        </is>
      </c>
    </row>
    <row r="56">
      <c r="A56" s="2" t="n">
        <v>55</v>
      </c>
      <c r="B56" s="4" t="inlineStr">
        <is>
          <t>VFP Transfer (DMS → Viewpoint)</t>
        </is>
      </c>
      <c r="C56" s="4" t="inlineStr">
        <is>
          <t>Definire il DMS di origine reale e scrivere il suo adattatore (oggi solo SeedDMS di prova)</t>
        </is>
      </c>
      <c r="D56" s="2" t="inlineStr">
        <is>
          <t>Sviluppo</t>
        </is>
      </c>
      <c r="E56" s="4" t="inlineStr">
        <is>
          <t>Dev + Claude</t>
        </is>
      </c>
      <c r="F56" s="23" t="n">
        <v>3</v>
      </c>
      <c r="G56" s="24" t="n">
        <v>0</v>
      </c>
      <c r="H56" s="24" t="n">
        <v>2</v>
      </c>
      <c r="I56" s="25" t="inlineStr">
        <is>
          <t>Da fare</t>
        </is>
      </c>
      <c r="J56" s="4" t="inlineStr">
        <is>
          <t>Decisione DMS</t>
        </is>
      </c>
      <c r="K56" s="26" t="inlineStr">
        <is>
          <t>CLAUDE.md § Estrazione dal DMS</t>
        </is>
      </c>
    </row>
    <row r="57">
      <c r="A57" s="2" t="n">
        <v>56</v>
      </c>
      <c r="B57" s="4" t="inlineStr">
        <is>
          <t>VFP Transfer (DMS → Viewpoint)</t>
        </is>
      </c>
      <c r="C57" s="4" t="inlineStr">
        <is>
          <t>Driver ODBC 18 (admin), server/database/vista/utente read-only per sorgente_sql.py</t>
        </is>
      </c>
      <c r="D57" s="2" t="inlineStr">
        <is>
          <t>IT</t>
        </is>
      </c>
      <c r="E57" s="4" t="inlineStr">
        <is>
          <t>IT</t>
        </is>
      </c>
      <c r="F57" s="23" t="n">
        <v>0</v>
      </c>
      <c r="G57" s="24" t="n">
        <v>10</v>
      </c>
      <c r="H57" s="24" t="n">
        <v>2</v>
      </c>
      <c r="I57" s="25" t="inlineStr">
        <is>
          <t>Da fare</t>
        </is>
      </c>
      <c r="J57" s="4" t="inlineStr">
        <is>
          <t>—</t>
        </is>
      </c>
      <c r="K57" s="26" t="inlineStr">
        <is>
          <t>CLAUDE.md § Stato</t>
        </is>
      </c>
    </row>
    <row r="58">
      <c r="A58" s="2" t="n">
        <v>57</v>
      </c>
      <c r="B58" s="4" t="inlineStr">
        <is>
          <t>VFP Transfer (DMS → Viewpoint)</t>
        </is>
      </c>
      <c r="C58" s="4" t="inlineStr">
        <is>
          <t>Agganciare sorgente_sql.py alla GUI/servizio con TRANSFER_LOCK</t>
        </is>
      </c>
      <c r="D58" s="2" t="inlineStr">
        <is>
          <t>Sviluppo</t>
        </is>
      </c>
      <c r="E58" s="4" t="inlineStr">
        <is>
          <t>Dev + Claude</t>
        </is>
      </c>
      <c r="F58" s="23" t="n">
        <v>1</v>
      </c>
      <c r="G58" s="24" t="n">
        <v>0</v>
      </c>
      <c r="H58" s="24" t="n">
        <v>2</v>
      </c>
      <c r="I58" s="25" t="inlineStr">
        <is>
          <t>Da fare</t>
        </is>
      </c>
      <c r="J58" s="4" t="inlineStr">
        <is>
          <t>ODBC 18</t>
        </is>
      </c>
      <c r="K58" s="26" t="inlineStr">
        <is>
          <t>CLAUDE.md § Archivio SQL</t>
        </is>
      </c>
    </row>
    <row r="59">
      <c r="A59" s="2" t="n">
        <v>58</v>
      </c>
      <c r="B59" s="4" t="inlineStr">
        <is>
          <t>VFP Transfer (DMS → Viewpoint)</t>
        </is>
      </c>
      <c r="C59" s="4" t="inlineStr">
        <is>
          <t>CPM e Alyante: documentazione e credenziali API, poi sorgenti 'da_collegare'</t>
        </is>
      </c>
      <c r="D59" s="2" t="inlineStr">
        <is>
          <t>Esterno</t>
        </is>
      </c>
      <c r="E59" s="4" t="inlineStr">
        <is>
          <t>Fornitori software</t>
        </is>
      </c>
      <c r="F59" s="23" t="n">
        <v>3</v>
      </c>
      <c r="G59" s="24" t="n">
        <v>15</v>
      </c>
      <c r="H59" s="24" t="n">
        <v>3</v>
      </c>
      <c r="I59" s="25" t="inlineStr">
        <is>
          <t>Da fare</t>
        </is>
      </c>
      <c r="J59" s="4" t="inlineStr">
        <is>
          <t>Docs + credenziali</t>
        </is>
      </c>
      <c r="K59" s="26" t="inlineStr">
        <is>
          <t>CLAUDE.md § Stato</t>
        </is>
      </c>
    </row>
    <row r="60">
      <c r="A60" s="2" t="n">
        <v>59</v>
      </c>
      <c r="B60" s="4" t="inlineStr">
        <is>
          <t>VFP Transfer (DMS → Viewpoint)</t>
        </is>
      </c>
      <c r="C60" s="4" t="inlineStr">
        <is>
          <t>Sicurezza a cura IT: app Azure limitata alla casella, account VFP dedicato, permessi cartella, Python in Program Files</t>
        </is>
      </c>
      <c r="D60" s="2" t="inlineStr">
        <is>
          <t>IT</t>
        </is>
      </c>
      <c r="E60" s="4" t="inlineStr">
        <is>
          <t>IT</t>
        </is>
      </c>
      <c r="F60" s="23" t="n">
        <v>0</v>
      </c>
      <c r="G60" s="24" t="n">
        <v>5</v>
      </c>
      <c r="H60" s="24" t="n">
        <v>2</v>
      </c>
      <c r="I60" s="25" t="inlineStr">
        <is>
          <t>Da fare</t>
        </is>
      </c>
      <c r="J60" s="4" t="inlineStr">
        <is>
          <t>—</t>
        </is>
      </c>
      <c r="K60" s="26" t="inlineStr">
        <is>
          <t>README.md § Sicurezza: cosa configurare fuori dal programma</t>
        </is>
      </c>
    </row>
    <row r="61">
      <c r="A61" s="2" t="n">
        <v>60</v>
      </c>
      <c r="B61" s="4" t="inlineStr">
        <is>
          <t>Installer e firewall</t>
        </is>
      </c>
      <c r="C61" s="4" t="inlineStr">
        <is>
          <t>Lanciare firewall-suite.ps1 sul server (-Rete, -ReteAdmin)</t>
        </is>
      </c>
      <c r="D61" s="2" t="inlineStr">
        <is>
          <t>IT</t>
        </is>
      </c>
      <c r="E61" s="4" t="inlineStr">
        <is>
          <t>IT</t>
        </is>
      </c>
      <c r="F61" s="23" t="n">
        <v>0</v>
      </c>
      <c r="G61" s="24" t="n">
        <v>2</v>
      </c>
      <c r="H61" s="24" t="n">
        <v>2</v>
      </c>
      <c r="I61" s="25" t="inlineStr">
        <is>
          <t>Da fare</t>
        </is>
      </c>
      <c r="J61" s="4" t="inlineStr">
        <is>
          <t>Server</t>
        </is>
      </c>
      <c r="K61" s="26" t="inlineStr">
        <is>
          <t>README.md § Firewall del server</t>
        </is>
      </c>
    </row>
    <row r="62">
      <c r="A62" s="10" t="n"/>
      <c r="B62" s="10" t="n"/>
      <c r="C62" s="27" t="inlineStr">
        <is>
          <t>Totale</t>
        </is>
      </c>
      <c r="D62" s="10" t="n"/>
      <c r="E62" s="10" t="n"/>
      <c r="F62" s="15">
        <f>SUM(F2:F61)</f>
        <v/>
      </c>
      <c r="G62" s="13">
        <f>SUM(G2:G61)</f>
        <v/>
      </c>
      <c r="H62" s="10" t="n"/>
      <c r="I62" s="3">
        <f>COUNTIF(I2:I61,"Da fare")&amp;" da fare, "&amp;COUNTIF(I2:I61,"In corso")&amp;" in corso, "&amp;COUNTIF(I2:I61,"Bloccato")&amp;" bloccate"</f>
        <v/>
      </c>
      <c r="J62" s="28" t="n"/>
      <c r="K62" s="29" t="n"/>
    </row>
  </sheetData>
  <autoFilter ref="A1:K61"/>
  <mergeCells count="1">
    <mergeCell ref="I62:K62"/>
  </mergeCells>
  <conditionalFormatting sqref="I2:I61">
    <cfRule type="cellIs" priority="1" operator="equal" dxfId="0">
      <formula>"Bloccato"</formula>
    </cfRule>
    <cfRule type="cellIs" priority="2" operator="equal" dxfId="2">
      <formula>"Fatto"</formula>
    </cfRule>
    <cfRule type="cellIs" priority="3" operator="equal" dxfId="1">
      <formula>"In corso"</formula>
    </cfRule>
  </conditionalFormatting>
  <dataValidations count="2">
    <dataValidation sqref="I2:I61" showDropDown="0" showInputMessage="0" showErrorMessage="0" allowBlank="0" type="list">
      <formula1>"Da fare,In corso,Bloccato,Fatto"</formula1>
    </dataValidation>
    <dataValidation sqref="D2:D61" showDropDown="0" showInputMessage="0" showErrorMessage="0" allowBlank="0" type="list">
      <formula1>"Sviluppo,IT,Decisione,Test sul campo,Esterno"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1" customWidth="1" min="4" max="4"/>
    <col width="11" customWidth="1" min="5" max="5"/>
    <col width="12" customWidth="1" min="6" max="6"/>
    <col width="13" customWidth="1" min="7" max="7"/>
    <col width="12" customWidth="1" min="8" max="8"/>
    <col width="11" customWidth="1" min="9" max="9"/>
    <col width="14" customWidth="1" min="10" max="10"/>
    <col width="14" customWidth="1" min="11" max="11"/>
    <col width="50" customWidth="1" min="12" max="12"/>
  </cols>
  <sheetData>
    <row r="1">
      <c r="A1" s="1" t="inlineStr">
        <is>
          <t>Ordine</t>
        </is>
      </c>
      <c r="B1" s="1" t="inlineStr">
        <is>
          <t>Programma</t>
        </is>
      </c>
      <c r="C1" s="1" t="inlineStr">
        <is>
          <t>Giorni dev residui</t>
        </is>
      </c>
      <c r="D1" s="1" t="inlineStr">
        <is>
          <t>Con contingenza</t>
        </is>
      </c>
      <c r="E1" s="1" t="inlineStr">
        <is>
          <t>Cumulato (gg dev)</t>
        </is>
      </c>
      <c r="F1" s="1" t="inlineStr">
        <is>
          <t>Inizio</t>
        </is>
      </c>
      <c r="G1" s="1" t="inlineStr">
        <is>
          <t>Giorni lavorativi (÷ sviluppatori)</t>
        </is>
      </c>
      <c r="H1" s="1" t="inlineStr">
        <is>
          <t>Fine sviluppo</t>
        </is>
      </c>
      <c r="I1" s="1" t="inlineStr">
        <is>
          <t>Attesa esterna (gg cal.)</t>
        </is>
      </c>
      <c r="J1" s="1" t="inlineStr">
        <is>
          <t>Fine se l'attesa parte all'inizio</t>
        </is>
      </c>
      <c r="K1" s="1" t="inlineStr">
        <is>
          <t>Fine stimata complessiva</t>
        </is>
      </c>
      <c r="L1" s="1" t="inlineStr">
        <is>
          <t>Bloccanti esterni</t>
        </is>
      </c>
    </row>
    <row r="2">
      <c r="A2" s="24" t="n">
        <v>1</v>
      </c>
      <c r="B2" s="3" t="inlineStr">
        <is>
          <t>VFP Transfer (DMS → Viewpoint)</t>
        </is>
      </c>
      <c r="C2" s="9">
        <f>INDEX(Riepilogo!$M:$M,MATCH($B2,Riepilogo!$B:$B,0))</f>
        <v/>
      </c>
      <c r="D2" s="9">
        <f>C2*Ipotesi!$B$6</f>
        <v/>
      </c>
      <c r="E2" s="9">
        <f>SUM($D$2:D2)</f>
        <v/>
      </c>
      <c r="F2" s="8">
        <f>Ipotesi!$B$4</f>
        <v/>
      </c>
      <c r="G2" s="7">
        <f>ROUNDUP(D2/Ipotesi!$B$5,0)</f>
        <v/>
      </c>
      <c r="H2" s="8">
        <f>IF(G2=0,F2,WORKDAY(F2,G2-1,Ipotesi!$A$10:$A$18))</f>
        <v/>
      </c>
      <c r="I2" s="7">
        <f>INDEX(Riepilogo!$O:$O,MATCH($B2,Riepilogo!$B:$B,0))</f>
        <v/>
      </c>
      <c r="J2" s="8">
        <f>Ipotesi!$B$4+I2</f>
        <v/>
      </c>
      <c r="K2" s="14">
        <f>MAX(H2,J2)</f>
        <v/>
      </c>
      <c r="L2" s="4">
        <f>INDEX(Riepilogo!$P:$P,MATCH($B2,Riepilogo!$B:$B,0))</f>
        <v/>
      </c>
    </row>
    <row r="3">
      <c r="A3" s="24" t="n">
        <v>2</v>
      </c>
      <c r="B3" s="3" t="inlineStr">
        <is>
          <t>SkyTower (CDE)</t>
        </is>
      </c>
      <c r="C3" s="9">
        <f>INDEX(Riepilogo!$M:$M,MATCH($B3,Riepilogo!$B:$B,0))</f>
        <v/>
      </c>
      <c r="D3" s="9">
        <f>C3*Ipotesi!$B$6</f>
        <v/>
      </c>
      <c r="E3" s="9">
        <f>SUM($D$2:D3)</f>
        <v/>
      </c>
      <c r="F3" s="8">
        <f>IF(D3=0,H2,WORKDAY(H2,1,Ipotesi!$A$10:$A$18))</f>
        <v/>
      </c>
      <c r="G3" s="7">
        <f>ROUNDUP(D3/Ipotesi!$B$5,0)</f>
        <v/>
      </c>
      <c r="H3" s="8">
        <f>IF(G3=0,F3,WORKDAY(F3,G3-1,Ipotesi!$A$10:$A$18))</f>
        <v/>
      </c>
      <c r="I3" s="7">
        <f>INDEX(Riepilogo!$O:$O,MATCH($B3,Riepilogo!$B:$B,0))</f>
        <v/>
      </c>
      <c r="J3" s="8">
        <f>Ipotesi!$B$4+I3</f>
        <v/>
      </c>
      <c r="K3" s="14">
        <f>MAX(H3,J3)</f>
        <v/>
      </c>
      <c r="L3" s="4">
        <f>INDEX(Riepilogo!$P:$P,MATCH($B3,Riepilogo!$B:$B,0))</f>
        <v/>
      </c>
    </row>
    <row r="4">
      <c r="A4" s="24" t="n">
        <v>3</v>
      </c>
      <c r="B4" s="3" t="inlineStr">
        <is>
          <t>InCampo</t>
        </is>
      </c>
      <c r="C4" s="9">
        <f>INDEX(Riepilogo!$M:$M,MATCH($B4,Riepilogo!$B:$B,0))</f>
        <v/>
      </c>
      <c r="D4" s="9">
        <f>C4*Ipotesi!$B$6</f>
        <v/>
      </c>
      <c r="E4" s="9">
        <f>SUM($D$2:D4)</f>
        <v/>
      </c>
      <c r="F4" s="8">
        <f>IF(D4=0,H3,WORKDAY(H3,1,Ipotesi!$A$10:$A$18))</f>
        <v/>
      </c>
      <c r="G4" s="7">
        <f>ROUNDUP(D4/Ipotesi!$B$5,0)</f>
        <v/>
      </c>
      <c r="H4" s="8">
        <f>IF(G4=0,F4,WORKDAY(F4,G4-1,Ipotesi!$A$10:$A$18))</f>
        <v/>
      </c>
      <c r="I4" s="7">
        <f>INDEX(Riepilogo!$O:$O,MATCH($B4,Riepilogo!$B:$B,0))</f>
        <v/>
      </c>
      <c r="J4" s="8">
        <f>Ipotesi!$B$4+I4</f>
        <v/>
      </c>
      <c r="K4" s="14">
        <f>MAX(H4,J4)</f>
        <v/>
      </c>
      <c r="L4" s="4">
        <f>INDEX(Riepilogo!$P:$P,MATCH($B4,Riepilogo!$B:$B,0))</f>
        <v/>
      </c>
    </row>
    <row r="5">
      <c r="A5" s="24" t="n">
        <v>4</v>
      </c>
      <c r="B5" s="3" t="inlineStr">
        <is>
          <t>Analista Dati</t>
        </is>
      </c>
      <c r="C5" s="9">
        <f>INDEX(Riepilogo!$M:$M,MATCH($B5,Riepilogo!$B:$B,0))</f>
        <v/>
      </c>
      <c r="D5" s="9">
        <f>C5*Ipotesi!$B$6</f>
        <v/>
      </c>
      <c r="E5" s="9">
        <f>SUM($D$2:D5)</f>
        <v/>
      </c>
      <c r="F5" s="8">
        <f>IF(D5=0,H4,WORKDAY(H4,1,Ipotesi!$A$10:$A$18))</f>
        <v/>
      </c>
      <c r="G5" s="7">
        <f>ROUNDUP(D5/Ipotesi!$B$5,0)</f>
        <v/>
      </c>
      <c r="H5" s="8">
        <f>IF(G5=0,F5,WORKDAY(F5,G5-1,Ipotesi!$A$10:$A$18))</f>
        <v/>
      </c>
      <c r="I5" s="7">
        <f>INDEX(Riepilogo!$O:$O,MATCH($B5,Riepilogo!$B:$B,0))</f>
        <v/>
      </c>
      <c r="J5" s="8">
        <f>Ipotesi!$B$4+I5</f>
        <v/>
      </c>
      <c r="K5" s="14">
        <f>MAX(H5,J5)</f>
        <v/>
      </c>
      <c r="L5" s="4">
        <f>INDEX(Riepilogo!$P:$P,MATCH($B5,Riepilogo!$B:$B,0))</f>
        <v/>
      </c>
    </row>
    <row r="6">
      <c r="A6" s="24" t="n">
        <v>5</v>
      </c>
      <c r="B6" s="3" t="inlineStr">
        <is>
          <t>Ponte Trimble</t>
        </is>
      </c>
      <c r="C6" s="9">
        <f>INDEX(Riepilogo!$M:$M,MATCH($B6,Riepilogo!$B:$B,0))</f>
        <v/>
      </c>
      <c r="D6" s="9">
        <f>C6*Ipotesi!$B$6</f>
        <v/>
      </c>
      <c r="E6" s="9">
        <f>SUM($D$2:D6)</f>
        <v/>
      </c>
      <c r="F6" s="8">
        <f>IF(D6=0,H5,WORKDAY(H5,1,Ipotesi!$A$10:$A$18))</f>
        <v/>
      </c>
      <c r="G6" s="7">
        <f>ROUNDUP(D6/Ipotesi!$B$5,0)</f>
        <v/>
      </c>
      <c r="H6" s="8">
        <f>IF(G6=0,F6,WORKDAY(F6,G6-1,Ipotesi!$A$10:$A$18))</f>
        <v/>
      </c>
      <c r="I6" s="7">
        <f>INDEX(Riepilogo!$O:$O,MATCH($B6,Riepilogo!$B:$B,0))</f>
        <v/>
      </c>
      <c r="J6" s="8">
        <f>Ipotesi!$B$4+I6</f>
        <v/>
      </c>
      <c r="K6" s="14">
        <f>MAX(H6,J6)</f>
        <v/>
      </c>
      <c r="L6" s="4">
        <f>INDEX(Riepilogo!$P:$P,MATCH($B6,Riepilogo!$B:$B,0))</f>
        <v/>
      </c>
    </row>
    <row r="7">
      <c r="A7" s="24" t="n">
        <v>6</v>
      </c>
      <c r="B7" s="3" t="inlineStr">
        <is>
          <t>Verifica Requisiti</t>
        </is>
      </c>
      <c r="C7" s="9">
        <f>INDEX(Riepilogo!$M:$M,MATCH($B7,Riepilogo!$B:$B,0))</f>
        <v/>
      </c>
      <c r="D7" s="9">
        <f>C7*Ipotesi!$B$6</f>
        <v/>
      </c>
      <c r="E7" s="9">
        <f>SUM($D$2:D7)</f>
        <v/>
      </c>
      <c r="F7" s="8">
        <f>IF(D7=0,H6,WORKDAY(H6,1,Ipotesi!$A$10:$A$18))</f>
        <v/>
      </c>
      <c r="G7" s="7">
        <f>ROUNDUP(D7/Ipotesi!$B$5,0)</f>
        <v/>
      </c>
      <c r="H7" s="8">
        <f>IF(G7=0,F7,WORKDAY(F7,G7-1,Ipotesi!$A$10:$A$18))</f>
        <v/>
      </c>
      <c r="I7" s="7">
        <f>INDEX(Riepilogo!$O:$O,MATCH($B7,Riepilogo!$B:$B,0))</f>
        <v/>
      </c>
      <c r="J7" s="8">
        <f>Ipotesi!$B$4+I7</f>
        <v/>
      </c>
      <c r="K7" s="14">
        <f>MAX(H7,J7)</f>
        <v/>
      </c>
      <c r="L7" s="4">
        <f>INDEX(Riepilogo!$P:$P,MATCH($B7,Riepilogo!$B:$B,0))</f>
        <v/>
      </c>
    </row>
    <row r="8">
      <c r="A8" s="24" t="n">
        <v>7</v>
      </c>
      <c r="B8" s="3" t="inlineStr">
        <is>
          <t>Scadenzario</t>
        </is>
      </c>
      <c r="C8" s="9">
        <f>INDEX(Riepilogo!$M:$M,MATCH($B8,Riepilogo!$B:$B,0))</f>
        <v/>
      </c>
      <c r="D8" s="9">
        <f>C8*Ipotesi!$B$6</f>
        <v/>
      </c>
      <c r="E8" s="9">
        <f>SUM($D$2:D8)</f>
        <v/>
      </c>
      <c r="F8" s="8">
        <f>IF(D8=0,H7,WORKDAY(H7,1,Ipotesi!$A$10:$A$18))</f>
        <v/>
      </c>
      <c r="G8" s="7">
        <f>ROUNDUP(D8/Ipotesi!$B$5,0)</f>
        <v/>
      </c>
      <c r="H8" s="8">
        <f>IF(G8=0,F8,WORKDAY(F8,G8-1,Ipotesi!$A$10:$A$18))</f>
        <v/>
      </c>
      <c r="I8" s="7">
        <f>INDEX(Riepilogo!$O:$O,MATCH($B8,Riepilogo!$B:$B,0))</f>
        <v/>
      </c>
      <c r="J8" s="8">
        <f>Ipotesi!$B$4+I8</f>
        <v/>
      </c>
      <c r="K8" s="14">
        <f>MAX(H8,J8)</f>
        <v/>
      </c>
      <c r="L8" s="4">
        <f>INDEX(Riepilogo!$P:$P,MATCH($B8,Riepilogo!$B:$B,0))</f>
        <v/>
      </c>
    </row>
    <row r="9">
      <c r="A9" s="24" t="n">
        <v>8</v>
      </c>
      <c r="B9" s="3" t="inlineStr">
        <is>
          <t>Portale Suite</t>
        </is>
      </c>
      <c r="C9" s="9">
        <f>INDEX(Riepilogo!$M:$M,MATCH($B9,Riepilogo!$B:$B,0))</f>
        <v/>
      </c>
      <c r="D9" s="9">
        <f>C9*Ipotesi!$B$6</f>
        <v/>
      </c>
      <c r="E9" s="9">
        <f>SUM($D$2:D9)</f>
        <v/>
      </c>
      <c r="F9" s="8">
        <f>IF(D9=0,H8,WORKDAY(H8,1,Ipotesi!$A$10:$A$18))</f>
        <v/>
      </c>
      <c r="G9" s="7">
        <f>ROUNDUP(D9/Ipotesi!$B$5,0)</f>
        <v/>
      </c>
      <c r="H9" s="8">
        <f>IF(G9=0,F9,WORKDAY(F9,G9-1,Ipotesi!$A$10:$A$18))</f>
        <v/>
      </c>
      <c r="I9" s="7">
        <f>INDEX(Riepilogo!$O:$O,MATCH($B9,Riepilogo!$B:$B,0))</f>
        <v/>
      </c>
      <c r="J9" s="8">
        <f>Ipotesi!$B$4+I9</f>
        <v/>
      </c>
      <c r="K9" s="14">
        <f>MAX(H9,J9)</f>
        <v/>
      </c>
      <c r="L9" s="4">
        <f>INDEX(Riepilogo!$P:$P,MATCH($B9,Riepilogo!$B:$B,0))</f>
        <v/>
      </c>
    </row>
    <row r="10">
      <c r="A10" s="24" t="n">
        <v>9</v>
      </c>
      <c r="B10" s="3" t="inlineStr">
        <is>
          <t>Lettore DDT</t>
        </is>
      </c>
      <c r="C10" s="9">
        <f>INDEX(Riepilogo!$M:$M,MATCH($B10,Riepilogo!$B:$B,0))</f>
        <v/>
      </c>
      <c r="D10" s="9">
        <f>C10*Ipotesi!$B$6</f>
        <v/>
      </c>
      <c r="E10" s="9">
        <f>SUM($D$2:D10)</f>
        <v/>
      </c>
      <c r="F10" s="8">
        <f>IF(D10=0,H9,WORKDAY(H9,1,Ipotesi!$A$10:$A$18))</f>
        <v/>
      </c>
      <c r="G10" s="7">
        <f>ROUNDUP(D10/Ipotesi!$B$5,0)</f>
        <v/>
      </c>
      <c r="H10" s="8">
        <f>IF(G10=0,F10,WORKDAY(F10,G10-1,Ipotesi!$A$10:$A$18))</f>
        <v/>
      </c>
      <c r="I10" s="7">
        <f>INDEX(Riepilogo!$O:$O,MATCH($B10,Riepilogo!$B:$B,0))</f>
        <v/>
      </c>
      <c r="J10" s="8">
        <f>Ipotesi!$B$4+I10</f>
        <v/>
      </c>
      <c r="K10" s="14">
        <f>MAX(H10,J10)</f>
        <v/>
      </c>
      <c r="L10" s="4">
        <f>INDEX(Riepilogo!$P:$P,MATCH($B10,Riepilogo!$B:$B,0))</f>
        <v/>
      </c>
    </row>
    <row r="11">
      <c r="A11" s="24" t="n">
        <v>10</v>
      </c>
      <c r="B11" s="3" t="inlineStr">
        <is>
          <t>OCR Documenti</t>
        </is>
      </c>
      <c r="C11" s="9">
        <f>INDEX(Riepilogo!$M:$M,MATCH($B11,Riepilogo!$B:$B,0))</f>
        <v/>
      </c>
      <c r="D11" s="9">
        <f>C11*Ipotesi!$B$6</f>
        <v/>
      </c>
      <c r="E11" s="9">
        <f>SUM($D$2:D11)</f>
        <v/>
      </c>
      <c r="F11" s="8">
        <f>IF(D11=0,H10,WORKDAY(H10,1,Ipotesi!$A$10:$A$18))</f>
        <v/>
      </c>
      <c r="G11" s="7">
        <f>ROUNDUP(D11/Ipotesi!$B$5,0)</f>
        <v/>
      </c>
      <c r="H11" s="8">
        <f>IF(G11=0,F11,WORKDAY(F11,G11-1,Ipotesi!$A$10:$A$18))</f>
        <v/>
      </c>
      <c r="I11" s="7">
        <f>INDEX(Riepilogo!$O:$O,MATCH($B11,Riepilogo!$B:$B,0))</f>
        <v/>
      </c>
      <c r="J11" s="8">
        <f>Ipotesi!$B$4+I11</f>
        <v/>
      </c>
      <c r="K11" s="14">
        <f>MAX(H11,J11)</f>
        <v/>
      </c>
      <c r="L11" s="4">
        <f>INDEX(Riepilogo!$P:$P,MATCH($B11,Riepilogo!$B:$B,0))</f>
        <v/>
      </c>
    </row>
    <row r="12">
      <c r="A12" s="24" t="n">
        <v>11</v>
      </c>
      <c r="B12" s="3" t="inlineStr">
        <is>
          <t>Confronto Documenti</t>
        </is>
      </c>
      <c r="C12" s="9">
        <f>INDEX(Riepilogo!$M:$M,MATCH($B12,Riepilogo!$B:$B,0))</f>
        <v/>
      </c>
      <c r="D12" s="9">
        <f>C12*Ipotesi!$B$6</f>
        <v/>
      </c>
      <c r="E12" s="9">
        <f>SUM($D$2:D12)</f>
        <v/>
      </c>
      <c r="F12" s="8">
        <f>IF(D12=0,H11,WORKDAY(H11,1,Ipotesi!$A$10:$A$18))</f>
        <v/>
      </c>
      <c r="G12" s="7">
        <f>ROUNDUP(D12/Ipotesi!$B$5,0)</f>
        <v/>
      </c>
      <c r="H12" s="8">
        <f>IF(G12=0,F12,WORKDAY(F12,G12-1,Ipotesi!$A$10:$A$18))</f>
        <v/>
      </c>
      <c r="I12" s="7">
        <f>INDEX(Riepilogo!$O:$O,MATCH($B12,Riepilogo!$B:$B,0))</f>
        <v/>
      </c>
      <c r="J12" s="8">
        <f>Ipotesi!$B$4+I12</f>
        <v/>
      </c>
      <c r="K12" s="14">
        <f>MAX(H12,J12)</f>
        <v/>
      </c>
      <c r="L12" s="4">
        <f>INDEX(Riepilogo!$P:$P,MATCH($B12,Riepilogo!$B:$B,0))</f>
        <v/>
      </c>
    </row>
    <row r="13">
      <c r="A13" s="24" t="n">
        <v>12</v>
      </c>
      <c r="B13" s="3" t="inlineStr">
        <is>
          <t>Auguri</t>
        </is>
      </c>
      <c r="C13" s="9">
        <f>INDEX(Riepilogo!$M:$M,MATCH($B13,Riepilogo!$B:$B,0))</f>
        <v/>
      </c>
      <c r="D13" s="9">
        <f>C13*Ipotesi!$B$6</f>
        <v/>
      </c>
      <c r="E13" s="9">
        <f>SUM($D$2:D13)</f>
        <v/>
      </c>
      <c r="F13" s="8">
        <f>IF(D13=0,H12,WORKDAY(H12,1,Ipotesi!$A$10:$A$18))</f>
        <v/>
      </c>
      <c r="G13" s="7">
        <f>ROUNDUP(D13/Ipotesi!$B$5,0)</f>
        <v/>
      </c>
      <c r="H13" s="8">
        <f>IF(G13=0,F13,WORKDAY(F13,G13-1,Ipotesi!$A$10:$A$18))</f>
        <v/>
      </c>
      <c r="I13" s="7">
        <f>INDEX(Riepilogo!$O:$O,MATCH($B13,Riepilogo!$B:$B,0))</f>
        <v/>
      </c>
      <c r="J13" s="8">
        <f>Ipotesi!$B$4+I13</f>
        <v/>
      </c>
      <c r="K13" s="14">
        <f>MAX(H13,J13)</f>
        <v/>
      </c>
      <c r="L13" s="4">
        <f>INDEX(Riepilogo!$P:$P,MATCH($B13,Riepilogo!$B:$B,0))</f>
        <v/>
      </c>
    </row>
    <row r="14">
      <c r="A14" s="24" t="n">
        <v>13</v>
      </c>
      <c r="B14" s="3" t="inlineStr">
        <is>
          <t>Installer e firewall</t>
        </is>
      </c>
      <c r="C14" s="9">
        <f>INDEX(Riepilogo!$M:$M,MATCH($B14,Riepilogo!$B:$B,0))</f>
        <v/>
      </c>
      <c r="D14" s="9">
        <f>C14*Ipotesi!$B$6</f>
        <v/>
      </c>
      <c r="E14" s="9">
        <f>SUM($D$2:D14)</f>
        <v/>
      </c>
      <c r="F14" s="8">
        <f>IF(D14=0,H13,WORKDAY(H13,1,Ipotesi!$A$10:$A$18))</f>
        <v/>
      </c>
      <c r="G14" s="7">
        <f>ROUNDUP(D14/Ipotesi!$B$5,0)</f>
        <v/>
      </c>
      <c r="H14" s="8">
        <f>IF(G14=0,F14,WORKDAY(F14,G14-1,Ipotesi!$A$10:$A$18))</f>
        <v/>
      </c>
      <c r="I14" s="7">
        <f>INDEX(Riepilogo!$O:$O,MATCH($B14,Riepilogo!$B:$B,0))</f>
        <v/>
      </c>
      <c r="J14" s="8">
        <f>Ipotesi!$B$4+I14</f>
        <v/>
      </c>
      <c r="K14" s="14">
        <f>MAX(H14,J14)</f>
        <v/>
      </c>
      <c r="L14" s="4">
        <f>INDEX(Riepilogo!$P:$P,MATCH($B14,Riepilogo!$B:$B,0))</f>
        <v/>
      </c>
    </row>
    <row r="15">
      <c r="A15" s="24" t="n">
        <v>14</v>
      </c>
      <c r="B15" s="3" t="inlineStr">
        <is>
          <t>Codice condiviso (shared)</t>
        </is>
      </c>
      <c r="C15" s="9">
        <f>INDEX(Riepilogo!$M:$M,MATCH($B15,Riepilogo!$B:$B,0))</f>
        <v/>
      </c>
      <c r="D15" s="9">
        <f>C15*Ipotesi!$B$6</f>
        <v/>
      </c>
      <c r="E15" s="9">
        <f>SUM($D$2:D15)</f>
        <v/>
      </c>
      <c r="F15" s="8">
        <f>IF(D15=0,H14,WORKDAY(H14,1,Ipotesi!$A$10:$A$18))</f>
        <v/>
      </c>
      <c r="G15" s="7">
        <f>ROUNDUP(D15/Ipotesi!$B$5,0)</f>
        <v/>
      </c>
      <c r="H15" s="8">
        <f>IF(G15=0,F15,WORKDAY(F15,G15-1,Ipotesi!$A$10:$A$18))</f>
        <v/>
      </c>
      <c r="I15" s="7">
        <f>INDEX(Riepilogo!$O:$O,MATCH($B15,Riepilogo!$B:$B,0))</f>
        <v/>
      </c>
      <c r="J15" s="8">
        <f>Ipotesi!$B$4+I15</f>
        <v/>
      </c>
      <c r="K15" s="14">
        <f>MAX(H15,J15)</f>
        <v/>
      </c>
      <c r="L15" s="4">
        <f>INDEX(Riepilogo!$P:$P,MATCH($B15,Riepilogo!$B:$B,0))</f>
        <v/>
      </c>
    </row>
    <row r="16">
      <c r="A16" s="10" t="n"/>
      <c r="B16" s="3" t="inlineStr">
        <is>
          <t>Fine di tutto</t>
        </is>
      </c>
      <c r="C16" s="10" t="n"/>
      <c r="D16" s="15">
        <f>SUM(D2:D15)</f>
        <v/>
      </c>
      <c r="E16" s="10" t="n"/>
      <c r="F16" s="10" t="n"/>
      <c r="G16" s="13">
        <f>SUM(G2:G15)</f>
        <v/>
      </c>
      <c r="H16" s="14">
        <f>MAX(H2:H15)</f>
        <v/>
      </c>
      <c r="I16" s="10" t="n"/>
      <c r="J16" s="10" t="n"/>
      <c r="K16" s="14">
        <f>MAX(K2:K15)</f>
        <v/>
      </c>
      <c r="L16" s="16" t="inlineStr">
        <is>
          <t>Solo sviluppo: fine sviluppo. Con gli altri (IT, direzione, fornitori, utenti pilota): fine stimata complessiva.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32" customHeight="1">
      <c r="A18" s="10" t="n"/>
      <c r="B18" s="30" t="inlineStr">
        <is>
          <t>Come leggere: lo sviluppo è in sequenza nell'ordine della colonna A (cambiarlo = riordinare le righe, le formule seguono). Le attese esterne (colonna I) si assume partano tutte dal giorno di inizio, in parallelo allo sviluppo: la fine complessiva è il massimo fra le due.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32" customHeight="1">
      <c r="A19" s="10" t="n"/>
      <c r="B19" s="30" t="inlineStr">
        <is>
          <t>Settimane a 5 giorni, festività del foglio Ipotesi escluse. Con 2 sviluppatori in parallelo (Ipotesi!B5) i giorni lavorativi si dimezzano, le attese no.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32" customHeight="1">
      <c r="A20" s="10" t="n"/>
      <c r="B20" s="30" t="inlineStr">
        <is>
          <t>Le attese più lunghe: credenziali Trimble/Viewpoint e CPM/Alyante (15 gg), pentest esterno SkyTower (15 gg), sblocco WDAC OCR (10 gg), server InCampo (10 gg). Senza di esse i programmi restano fermi al punto attuale ma usabili.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</sheetData>
  <mergeCells count="3">
    <mergeCell ref="B19:L19"/>
    <mergeCell ref="B20:L20"/>
    <mergeCell ref="B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6" customWidth="1" min="3" max="3"/>
    <col width="14" customWidth="1" min="4" max="4"/>
    <col width="11" customWidth="1" min="5" max="5"/>
    <col width="9" customWidth="1" min="6" max="6"/>
    <col width="12" customWidth="1" min="7" max="7"/>
  </cols>
  <sheetData>
    <row r="1">
      <c r="A1" s="1" t="inlineStr">
        <is>
          <t>Programma</t>
        </is>
      </c>
      <c r="B1" s="1" t="inlineStr">
        <is>
          <t>Cosa serve</t>
        </is>
      </c>
      <c r="C1" s="1" t="inlineStr">
        <is>
          <t>Chi</t>
        </is>
      </c>
      <c r="D1" s="1" t="inlineStr">
        <is>
          <t>Tipo</t>
        </is>
      </c>
      <c r="E1" s="1" t="inlineStr">
        <is>
          <t>Giorni attesa</t>
        </is>
      </c>
      <c r="F1" s="1" t="inlineStr">
        <is>
          <t>Priorità</t>
        </is>
      </c>
      <c r="G1" s="1" t="inlineStr">
        <is>
          <t>Stato</t>
        </is>
      </c>
    </row>
    <row r="2">
      <c r="A2" s="4">
        <f>Attività!B2</f>
        <v/>
      </c>
      <c r="B2" s="4">
        <f>Attività!C2</f>
        <v/>
      </c>
      <c r="C2" s="4">
        <f>Attività!E2</f>
        <v/>
      </c>
      <c r="D2" s="2">
        <f>Attività!D2</f>
        <v/>
      </c>
      <c r="E2" s="7">
        <f>Attività!G2</f>
        <v/>
      </c>
      <c r="F2" s="7">
        <f>Attività!H2</f>
        <v/>
      </c>
      <c r="G2" s="2">
        <f>Attività!I2</f>
        <v/>
      </c>
    </row>
    <row r="3">
      <c r="A3" s="4">
        <f>Attività!B3</f>
        <v/>
      </c>
      <c r="B3" s="4">
        <f>Attività!C3</f>
        <v/>
      </c>
      <c r="C3" s="4">
        <f>Attività!E3</f>
        <v/>
      </c>
      <c r="D3" s="2">
        <f>Attività!D3</f>
        <v/>
      </c>
      <c r="E3" s="7">
        <f>Attività!G3</f>
        <v/>
      </c>
      <c r="F3" s="7">
        <f>Attività!H3</f>
        <v/>
      </c>
      <c r="G3" s="2">
        <f>Attività!I3</f>
        <v/>
      </c>
    </row>
    <row r="4">
      <c r="A4" s="4">
        <f>Attività!B12</f>
        <v/>
      </c>
      <c r="B4" s="4">
        <f>Attività!C12</f>
        <v/>
      </c>
      <c r="C4" s="4">
        <f>Attività!E12</f>
        <v/>
      </c>
      <c r="D4" s="2">
        <f>Attività!D12</f>
        <v/>
      </c>
      <c r="E4" s="7">
        <f>Attività!G12</f>
        <v/>
      </c>
      <c r="F4" s="7">
        <f>Attività!H12</f>
        <v/>
      </c>
      <c r="G4" s="2">
        <f>Attività!I12</f>
        <v/>
      </c>
    </row>
    <row r="5">
      <c r="A5" s="4">
        <f>Attività!B16</f>
        <v/>
      </c>
      <c r="B5" s="4">
        <f>Attività!C16</f>
        <v/>
      </c>
      <c r="C5" s="4">
        <f>Attività!E16</f>
        <v/>
      </c>
      <c r="D5" s="2">
        <f>Attività!D16</f>
        <v/>
      </c>
      <c r="E5" s="7">
        <f>Attività!G16</f>
        <v/>
      </c>
      <c r="F5" s="7">
        <f>Attività!H16</f>
        <v/>
      </c>
      <c r="G5" s="2">
        <f>Attività!I16</f>
        <v/>
      </c>
    </row>
    <row r="6">
      <c r="A6" s="4">
        <f>Attività!B25</f>
        <v/>
      </c>
      <c r="B6" s="4">
        <f>Attività!C25</f>
        <v/>
      </c>
      <c r="C6" s="4">
        <f>Attività!E25</f>
        <v/>
      </c>
      <c r="D6" s="2">
        <f>Attività!D25</f>
        <v/>
      </c>
      <c r="E6" s="7">
        <f>Attività!G25</f>
        <v/>
      </c>
      <c r="F6" s="7">
        <f>Attività!H25</f>
        <v/>
      </c>
      <c r="G6" s="2">
        <f>Attività!I25</f>
        <v/>
      </c>
    </row>
    <row r="7">
      <c r="A7" s="4">
        <f>Attività!B27</f>
        <v/>
      </c>
      <c r="B7" s="4">
        <f>Attività!C27</f>
        <v/>
      </c>
      <c r="C7" s="4">
        <f>Attività!E27</f>
        <v/>
      </c>
      <c r="D7" s="2">
        <f>Attività!D27</f>
        <v/>
      </c>
      <c r="E7" s="7">
        <f>Attività!G27</f>
        <v/>
      </c>
      <c r="F7" s="7">
        <f>Attività!H27</f>
        <v/>
      </c>
      <c r="G7" s="2">
        <f>Attività!I27</f>
        <v/>
      </c>
    </row>
    <row r="8">
      <c r="A8" s="4">
        <f>Attività!B28</f>
        <v/>
      </c>
      <c r="B8" s="4">
        <f>Attività!C28</f>
        <v/>
      </c>
      <c r="C8" s="4">
        <f>Attività!E28</f>
        <v/>
      </c>
      <c r="D8" s="2">
        <f>Attività!D28</f>
        <v/>
      </c>
      <c r="E8" s="7">
        <f>Attività!G28</f>
        <v/>
      </c>
      <c r="F8" s="7">
        <f>Attività!H28</f>
        <v/>
      </c>
      <c r="G8" s="2">
        <f>Attività!I28</f>
        <v/>
      </c>
    </row>
    <row r="9">
      <c r="A9" s="4">
        <f>Attività!B29</f>
        <v/>
      </c>
      <c r="B9" s="4">
        <f>Attività!C29</f>
        <v/>
      </c>
      <c r="C9" s="4">
        <f>Attività!E29</f>
        <v/>
      </c>
      <c r="D9" s="2">
        <f>Attività!D29</f>
        <v/>
      </c>
      <c r="E9" s="7">
        <f>Attività!G29</f>
        <v/>
      </c>
      <c r="F9" s="7">
        <f>Attività!H29</f>
        <v/>
      </c>
      <c r="G9" s="2">
        <f>Attività!I29</f>
        <v/>
      </c>
    </row>
    <row r="10">
      <c r="A10" s="4">
        <f>Attività!B30</f>
        <v/>
      </c>
      <c r="B10" s="4">
        <f>Attività!C30</f>
        <v/>
      </c>
      <c r="C10" s="4">
        <f>Attività!E30</f>
        <v/>
      </c>
      <c r="D10" s="2">
        <f>Attività!D30</f>
        <v/>
      </c>
      <c r="E10" s="7">
        <f>Attività!G30</f>
        <v/>
      </c>
      <c r="F10" s="7">
        <f>Attività!H30</f>
        <v/>
      </c>
      <c r="G10" s="2">
        <f>Attività!I30</f>
        <v/>
      </c>
    </row>
    <row r="11">
      <c r="A11" s="4">
        <f>Attività!B34</f>
        <v/>
      </c>
      <c r="B11" s="4">
        <f>Attività!C34</f>
        <v/>
      </c>
      <c r="C11" s="4">
        <f>Attività!E34</f>
        <v/>
      </c>
      <c r="D11" s="2">
        <f>Attività!D34</f>
        <v/>
      </c>
      <c r="E11" s="7">
        <f>Attività!G34</f>
        <v/>
      </c>
      <c r="F11" s="7">
        <f>Attività!H34</f>
        <v/>
      </c>
      <c r="G11" s="2">
        <f>Attività!I34</f>
        <v/>
      </c>
    </row>
    <row r="12">
      <c r="A12" s="4">
        <f>Attività!B36</f>
        <v/>
      </c>
      <c r="B12" s="4">
        <f>Attività!C36</f>
        <v/>
      </c>
      <c r="C12" s="4">
        <f>Attività!E36</f>
        <v/>
      </c>
      <c r="D12" s="2">
        <f>Attività!D36</f>
        <v/>
      </c>
      <c r="E12" s="7">
        <f>Attività!G36</f>
        <v/>
      </c>
      <c r="F12" s="7">
        <f>Attività!H36</f>
        <v/>
      </c>
      <c r="G12" s="2">
        <f>Attività!I36</f>
        <v/>
      </c>
    </row>
    <row r="13">
      <c r="A13" s="4">
        <f>Attività!B37</f>
        <v/>
      </c>
      <c r="B13" s="4">
        <f>Attività!C37</f>
        <v/>
      </c>
      <c r="C13" s="4">
        <f>Attività!E37</f>
        <v/>
      </c>
      <c r="D13" s="2">
        <f>Attività!D37</f>
        <v/>
      </c>
      <c r="E13" s="7">
        <f>Attività!G37</f>
        <v/>
      </c>
      <c r="F13" s="7">
        <f>Attività!H37</f>
        <v/>
      </c>
      <c r="G13" s="2">
        <f>Attività!I37</f>
        <v/>
      </c>
    </row>
    <row r="14">
      <c r="A14" s="4">
        <f>Attività!B38</f>
        <v/>
      </c>
      <c r="B14" s="4">
        <f>Attività!C38</f>
        <v/>
      </c>
      <c r="C14" s="4">
        <f>Attività!E38</f>
        <v/>
      </c>
      <c r="D14" s="2">
        <f>Attività!D38</f>
        <v/>
      </c>
      <c r="E14" s="7">
        <f>Attività!G38</f>
        <v/>
      </c>
      <c r="F14" s="7">
        <f>Attività!H38</f>
        <v/>
      </c>
      <c r="G14" s="2">
        <f>Attività!I38</f>
        <v/>
      </c>
    </row>
    <row r="15">
      <c r="A15" s="4">
        <f>Attività!B40</f>
        <v/>
      </c>
      <c r="B15" s="4">
        <f>Attività!C40</f>
        <v/>
      </c>
      <c r="C15" s="4">
        <f>Attività!E40</f>
        <v/>
      </c>
      <c r="D15" s="2">
        <f>Attività!D40</f>
        <v/>
      </c>
      <c r="E15" s="7">
        <f>Attività!G40</f>
        <v/>
      </c>
      <c r="F15" s="7">
        <f>Attività!H40</f>
        <v/>
      </c>
      <c r="G15" s="2">
        <f>Attività!I40</f>
        <v/>
      </c>
    </row>
    <row r="16">
      <c r="A16" s="4">
        <f>Attività!B41</f>
        <v/>
      </c>
      <c r="B16" s="4">
        <f>Attività!C41</f>
        <v/>
      </c>
      <c r="C16" s="4">
        <f>Attività!E41</f>
        <v/>
      </c>
      <c r="D16" s="2">
        <f>Attività!D41</f>
        <v/>
      </c>
      <c r="E16" s="7">
        <f>Attività!G41</f>
        <v/>
      </c>
      <c r="F16" s="7">
        <f>Attività!H41</f>
        <v/>
      </c>
      <c r="G16" s="2">
        <f>Attività!I41</f>
        <v/>
      </c>
    </row>
    <row r="17">
      <c r="A17" s="4">
        <f>Attività!B47</f>
        <v/>
      </c>
      <c r="B17" s="4">
        <f>Attività!C47</f>
        <v/>
      </c>
      <c r="C17" s="4">
        <f>Attività!E47</f>
        <v/>
      </c>
      <c r="D17" s="2">
        <f>Attività!D47</f>
        <v/>
      </c>
      <c r="E17" s="7">
        <f>Attività!G47</f>
        <v/>
      </c>
      <c r="F17" s="7">
        <f>Attività!H47</f>
        <v/>
      </c>
      <c r="G17" s="2">
        <f>Attività!I47</f>
        <v/>
      </c>
    </row>
    <row r="18">
      <c r="A18" s="4">
        <f>Attività!B54</f>
        <v/>
      </c>
      <c r="B18" s="4">
        <f>Attività!C54</f>
        <v/>
      </c>
      <c r="C18" s="4">
        <f>Attività!E54</f>
        <v/>
      </c>
      <c r="D18" s="2">
        <f>Attività!D54</f>
        <v/>
      </c>
      <c r="E18" s="7">
        <f>Attività!G54</f>
        <v/>
      </c>
      <c r="F18" s="7">
        <f>Attività!H54</f>
        <v/>
      </c>
      <c r="G18" s="2">
        <f>Attività!I54</f>
        <v/>
      </c>
    </row>
    <row r="19">
      <c r="A19" s="4">
        <f>Attività!B57</f>
        <v/>
      </c>
      <c r="B19" s="4">
        <f>Attività!C57</f>
        <v/>
      </c>
      <c r="C19" s="4">
        <f>Attività!E57</f>
        <v/>
      </c>
      <c r="D19" s="2">
        <f>Attività!D57</f>
        <v/>
      </c>
      <c r="E19" s="7">
        <f>Attività!G57</f>
        <v/>
      </c>
      <c r="F19" s="7">
        <f>Attività!H57</f>
        <v/>
      </c>
      <c r="G19" s="2">
        <f>Attività!I57</f>
        <v/>
      </c>
    </row>
    <row r="20">
      <c r="A20" s="4">
        <f>Attività!B59</f>
        <v/>
      </c>
      <c r="B20" s="4">
        <f>Attività!C59</f>
        <v/>
      </c>
      <c r="C20" s="4">
        <f>Attività!E59</f>
        <v/>
      </c>
      <c r="D20" s="2">
        <f>Attività!D59</f>
        <v/>
      </c>
      <c r="E20" s="7">
        <f>Attività!G59</f>
        <v/>
      </c>
      <c r="F20" s="7">
        <f>Attività!H59</f>
        <v/>
      </c>
      <c r="G20" s="2">
        <f>Attività!I59</f>
        <v/>
      </c>
    </row>
    <row r="21">
      <c r="A21" s="4">
        <f>Attività!B60</f>
        <v/>
      </c>
      <c r="B21" s="4">
        <f>Attività!C60</f>
        <v/>
      </c>
      <c r="C21" s="4">
        <f>Attività!E60</f>
        <v/>
      </c>
      <c r="D21" s="2">
        <f>Attività!D60</f>
        <v/>
      </c>
      <c r="E21" s="7">
        <f>Attività!G60</f>
        <v/>
      </c>
      <c r="F21" s="7">
        <f>Attività!H60</f>
        <v/>
      </c>
      <c r="G21" s="2">
        <f>Attività!I60</f>
        <v/>
      </c>
    </row>
    <row r="22">
      <c r="A22" s="4">
        <f>Attività!B61</f>
        <v/>
      </c>
      <c r="B22" s="4">
        <f>Attività!C61</f>
        <v/>
      </c>
      <c r="C22" s="4">
        <f>Attività!E61</f>
        <v/>
      </c>
      <c r="D22" s="2">
        <f>Attività!D61</f>
        <v/>
      </c>
      <c r="E22" s="7">
        <f>Attività!G61</f>
        <v/>
      </c>
      <c r="F22" s="7">
        <f>Attività!H61</f>
        <v/>
      </c>
      <c r="G22" s="2">
        <f>Attività!I61</f>
        <v/>
      </c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31" t="inlineStr">
        <is>
          <t>Riferimenti al foglio Attività: si aggiornano cambiando lì stato e giorni.</t>
        </is>
      </c>
      <c r="B24" s="10" t="n"/>
      <c r="C24" s="10" t="n"/>
      <c r="D24" s="10" t="n"/>
      <c r="E24" s="10" t="n"/>
      <c r="F24" s="10" t="n"/>
      <c r="G2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2026-10-30T09:56:32Z</dcterms:created>
  <dcterms:modified xsi:type="dcterms:W3CDTF">2026-10-30T09:56:32Z</dcterms:modified>
</cp:coreProperties>
</file>