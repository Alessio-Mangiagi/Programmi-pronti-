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.calpona\Desktop\UFFICIO ACQUISTI AUGUSTA\02 Contratti Collegamento\Ferroberica\"/>
    </mc:Choice>
  </mc:AlternateContent>
  <xr:revisionPtr revIDLastSave="0" documentId="8_{354997E9-DAD1-41D7-BC7D-FCD78A31CD0F}" xr6:coauthVersionLast="47" xr6:coauthVersionMax="47" xr10:uidLastSave="{00000000-0000-0000-0000-000000000000}"/>
  <bookViews>
    <workbookView xWindow="-28920" yWindow="-1335" windowWidth="29040" windowHeight="15720" xr2:uid="{8E36FE3E-37E5-4075-ABFC-D989207822C5}"/>
  </bookViews>
  <sheets>
    <sheet name="elenco prezzi Ferroberica Co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" l="1"/>
  <c r="G24" i="1"/>
  <c r="H24" i="1" s="1"/>
  <c r="G21" i="1"/>
  <c r="G19" i="1"/>
  <c r="H19" i="1" s="1"/>
  <c r="G15" i="1"/>
  <c r="H15" i="1" s="1"/>
  <c r="G11" i="1"/>
  <c r="H11" i="1" s="1"/>
  <c r="H7" i="1"/>
  <c r="H30" i="1" s="1"/>
  <c r="G7" i="1"/>
</calcChain>
</file>

<file path=xl/sharedStrings.xml><?xml version="1.0" encoding="utf-8"?>
<sst xmlns="http://schemas.openxmlformats.org/spreadsheetml/2006/main" count="78" uniqueCount="31">
  <si>
    <t>Articolo</t>
  </si>
  <si>
    <t>Descrizione Articolo Elenco Prezzi</t>
  </si>
  <si>
    <t>Descrizione di dettaglio della Fornitura</t>
  </si>
  <si>
    <t>BA.CZ.A.3 09.B Ø.1000</t>
  </si>
  <si>
    <t>ACCIAIO IN BARRE TONDE B450C BARRE AD ADERENZA MIGLIORATA</t>
  </si>
  <si>
    <t>Gabbie per armature di pali di fondazione Ø 1000 mm</t>
  </si>
  <si>
    <t>Fornitura e trasporto di acciaio in barre ad aderenza migliorata per strutture in conglomerato cementizio del tipo B 450 C, di cui alla sottovoce BA.ME.A.102.C.</t>
  </si>
  <si>
    <t>Dettaglio Prezzi</t>
  </si>
  <si>
    <t>u.m.</t>
  </si>
  <si>
    <t>Quantità</t>
  </si>
  <si>
    <t>Prezzo Unitario</t>
  </si>
  <si>
    <t>Importo</t>
  </si>
  <si>
    <t>Riferimento listino “FASTMARKETS MB” di Londra del 11/02/2026 VALORE MEDIO</t>
  </si>
  <si>
    <t>kg</t>
  </si>
  <si>
    <t>Trasporto, taglio, lavorazione in stabilimento e sfrido</t>
  </si>
  <si>
    <t>BA.CZ.A.3 09.B Ø.1200</t>
  </si>
  <si>
    <t>Gabbie per armature di pali di fondazione Ø 1200 mm</t>
  </si>
  <si>
    <t>BA.CZ.A.3 09.B Ø.1500</t>
  </si>
  <si>
    <t>Gabbie per armature di pali di fondazione Ø 1500 mm</t>
  </si>
  <si>
    <t>BA.CZ.A.3 09.B Diaframmi 
1200 mm</t>
  </si>
  <si>
    <t>Armature per diaframmi L 1200 mm</t>
  </si>
  <si>
    <t>Trasporto, taglio, lavorazione in stabilimento e sfrido Diaframmi con giuto con palancola</t>
  </si>
  <si>
    <t>Trasporto, taglio, lavorazione in stabilimento e sfrido Diaframmi con giuto con tubo in pvc</t>
  </si>
  <si>
    <t>BA.CZ.A.3 09.B</t>
  </si>
  <si>
    <t>Acciaio Sagomato per cemento armato</t>
  </si>
  <si>
    <t>SAGOMATO</t>
  </si>
  <si>
    <t>BA.CZ.A.3 10.A</t>
  </si>
  <si>
    <r>
      <t xml:space="preserve">RETE ELETTROSALDATA </t>
    </r>
    <r>
      <rPr>
        <sz val="8"/>
        <color rgb="FF000000"/>
        <rFont val="Arial"/>
        <family val="2"/>
      </rPr>
      <t>in fili d'acciaio, rispondente alle caratteristiche di cui alla normativa vigente, per lavori in cemento armato, classe B450C diam. 08/10mm, formato standard, a pacchi interi.</t>
    </r>
  </si>
  <si>
    <t>Rete Elettrosaldata</t>
  </si>
  <si>
    <t>Trasporto - movimentazione - Ritasporto</t>
  </si>
  <si>
    <t>Importo IVA esclusa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</si>
</sst>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0\ &quot;€&quot;;[Red]\-#,##0.000\ &quot;€&quot;"/>
    <numFmt numFmtId="165" formatCode="_-* #,##0.000\ &quot;€&quot;_-;\-* #,##0.0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Century Gothic"/>
      <family val="2"/>
    </font>
    <font>
      <b/>
      <sz val="9"/>
      <color rgb="FF000000"/>
      <name val="Arial"/>
      <family val="2"/>
    </font>
    <font>
      <b/>
      <i/>
      <sz val="10"/>
      <color rgb="FF000000"/>
      <name val="Arial"/>
      <family val="2"/>
    </font>
    <font>
      <i/>
      <sz val="8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Microsoft Sans Serif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" fontId="9" fillId="2" borderId="5" xfId="0" applyNumberFormat="1" applyFont="1" applyFill="1" applyBorder="1" applyAlignment="1">
      <alignment horizontal="right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8" fontId="9" fillId="2" borderId="5" xfId="0" applyNumberFormat="1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4" fontId="9" fillId="2" borderId="8" xfId="0" applyNumberFormat="1" applyFont="1" applyFill="1" applyBorder="1" applyAlignment="1">
      <alignment horizontal="right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8" fontId="9" fillId="2" borderId="8" xfId="0" applyNumberFormat="1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4" fontId="9" fillId="2" borderId="13" xfId="0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4" fontId="9" fillId="2" borderId="6" xfId="0" applyNumberFormat="1" applyFont="1" applyFill="1" applyBorder="1" applyAlignment="1">
      <alignment horizontal="right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right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4" fontId="9" fillId="2" borderId="12" xfId="0" applyNumberFormat="1" applyFont="1" applyFill="1" applyBorder="1" applyAlignment="1">
      <alignment horizontal="right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8" fontId="9" fillId="2" borderId="6" xfId="0" applyNumberFormat="1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4" fillId="2" borderId="5" xfId="0" applyFont="1" applyFill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justify" vertical="center" wrapText="1"/>
    </xf>
    <xf numFmtId="165" fontId="4" fillId="2" borderId="6" xfId="2" applyNumberFormat="1" applyFont="1" applyFill="1" applyBorder="1" applyAlignment="1">
      <alignment horizontal="center" vertical="center" wrapText="1"/>
    </xf>
    <xf numFmtId="165" fontId="9" fillId="2" borderId="5" xfId="2" applyNumberFormat="1" applyFont="1" applyFill="1" applyBorder="1" applyAlignment="1">
      <alignment horizontal="center" vertical="center" wrapText="1"/>
    </xf>
    <xf numFmtId="43" fontId="9" fillId="2" borderId="5" xfId="1" applyFont="1" applyFill="1" applyBorder="1" applyAlignment="1">
      <alignment horizontal="right" vertical="center" wrapText="1"/>
    </xf>
    <xf numFmtId="165" fontId="4" fillId="2" borderId="5" xfId="2" applyNumberFormat="1" applyFont="1" applyFill="1" applyBorder="1" applyAlignment="1">
      <alignment horizontal="center" vertical="center" wrapText="1"/>
    </xf>
    <xf numFmtId="165" fontId="9" fillId="2" borderId="5" xfId="2" applyNumberFormat="1" applyFont="1" applyFill="1" applyBorder="1" applyAlignment="1">
      <alignment vertical="center" wrapText="1"/>
    </xf>
    <xf numFmtId="165" fontId="7" fillId="2" borderId="6" xfId="2" applyNumberFormat="1" applyFont="1" applyFill="1" applyBorder="1" applyAlignment="1">
      <alignment horizontal="center" vertical="center" wrapText="1"/>
    </xf>
    <xf numFmtId="165" fontId="9" fillId="2" borderId="8" xfId="2" applyNumberFormat="1" applyFont="1" applyFill="1" applyBorder="1" applyAlignment="1">
      <alignment horizontal="center" vertical="center" wrapText="1"/>
    </xf>
    <xf numFmtId="43" fontId="9" fillId="2" borderId="8" xfId="1" applyFont="1" applyFill="1" applyBorder="1" applyAlignment="1">
      <alignment horizontal="right" vertical="center" wrapText="1"/>
    </xf>
    <xf numFmtId="165" fontId="4" fillId="2" borderId="8" xfId="2" applyNumberFormat="1" applyFont="1" applyFill="1" applyBorder="1" applyAlignment="1">
      <alignment horizontal="center" vertical="center" wrapText="1"/>
    </xf>
    <xf numFmtId="165" fontId="9" fillId="2" borderId="8" xfId="2" applyNumberFormat="1" applyFont="1" applyFill="1" applyBorder="1" applyAlignment="1">
      <alignment vertical="center" wrapText="1"/>
    </xf>
    <xf numFmtId="0" fontId="2" fillId="2" borderId="17" xfId="0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8" fontId="4" fillId="2" borderId="6" xfId="0" applyNumberFormat="1" applyFont="1" applyFill="1" applyBorder="1" applyAlignment="1">
      <alignment horizontal="center" vertical="center" wrapText="1"/>
    </xf>
  </cellXfs>
  <cellStyles count="3">
    <cellStyle name="Migliaia" xfId="1" builtinId="3"/>
    <cellStyle name="Normale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EE5C-C352-400A-92D6-D028BC1CE191}">
  <dimension ref="B3:H30"/>
  <sheetViews>
    <sheetView tabSelected="1" topLeftCell="A16" zoomScale="130" zoomScaleNormal="130" workbookViewId="0">
      <selection activeCell="G23" sqref="G23"/>
    </sheetView>
  </sheetViews>
  <sheetFormatPr defaultRowHeight="14.4" x14ac:dyDescent="0.3"/>
  <cols>
    <col min="2" max="2" width="9.109375" bestFit="1" customWidth="1"/>
    <col min="3" max="3" width="56.33203125" customWidth="1"/>
    <col min="4" max="4" width="9.5546875" bestFit="1" customWidth="1"/>
    <col min="5" max="5" width="4.44140625" bestFit="1" customWidth="1"/>
    <col min="6" max="8" width="14.109375" customWidth="1"/>
  </cols>
  <sheetData>
    <row r="3" spans="2:8" ht="15" thickBot="1" x14ac:dyDescent="0.35"/>
    <row r="4" spans="2:8" ht="15" thickBot="1" x14ac:dyDescent="0.35">
      <c r="B4" s="1" t="s">
        <v>0</v>
      </c>
      <c r="C4" s="2" t="s">
        <v>1</v>
      </c>
      <c r="D4" s="3" t="s">
        <v>2</v>
      </c>
      <c r="E4" s="4"/>
      <c r="F4" s="4"/>
      <c r="G4" s="4"/>
      <c r="H4" s="5"/>
    </row>
    <row r="5" spans="2:8" ht="26.4" customHeight="1" thickBot="1" x14ac:dyDescent="0.35">
      <c r="B5" s="6" t="s">
        <v>3</v>
      </c>
      <c r="C5" s="7" t="s">
        <v>4</v>
      </c>
      <c r="D5" s="8" t="s">
        <v>5</v>
      </c>
      <c r="E5" s="9"/>
      <c r="F5" s="9"/>
      <c r="G5" s="9"/>
      <c r="H5" s="10"/>
    </row>
    <row r="6" spans="2:8" ht="23.4" thickBot="1" x14ac:dyDescent="0.35">
      <c r="B6" s="11"/>
      <c r="C6" s="12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</row>
    <row r="7" spans="2:8" ht="23.4" thickBot="1" x14ac:dyDescent="0.35">
      <c r="B7" s="11"/>
      <c r="C7" s="14" t="s">
        <v>12</v>
      </c>
      <c r="D7" s="15">
        <v>0.6</v>
      </c>
      <c r="E7" s="16" t="s">
        <v>13</v>
      </c>
      <c r="F7" s="17">
        <v>262000</v>
      </c>
      <c r="G7" s="18">
        <f>+D7+D8</f>
        <v>0.77499999999999991</v>
      </c>
      <c r="H7" s="19">
        <f>+G7*F7</f>
        <v>203049.99999999997</v>
      </c>
    </row>
    <row r="8" spans="2:8" ht="15" thickBot="1" x14ac:dyDescent="0.35">
      <c r="B8" s="20"/>
      <c r="C8" s="14" t="s">
        <v>14</v>
      </c>
      <c r="D8" s="21">
        <v>0.17499999999999999</v>
      </c>
      <c r="E8" s="22"/>
      <c r="F8" s="23"/>
      <c r="G8" s="24"/>
      <c r="H8" s="25"/>
    </row>
    <row r="9" spans="2:8" ht="26.4" customHeight="1" thickBot="1" x14ac:dyDescent="0.35">
      <c r="B9" s="6" t="s">
        <v>15</v>
      </c>
      <c r="C9" s="7" t="s">
        <v>4</v>
      </c>
      <c r="D9" s="8" t="s">
        <v>16</v>
      </c>
      <c r="E9" s="9"/>
      <c r="F9" s="9"/>
      <c r="G9" s="9"/>
      <c r="H9" s="10"/>
    </row>
    <row r="10" spans="2:8" ht="23.4" thickBot="1" x14ac:dyDescent="0.35">
      <c r="B10" s="11"/>
      <c r="C10" s="12" t="s">
        <v>6</v>
      </c>
      <c r="D10" s="13" t="s">
        <v>7</v>
      </c>
      <c r="E10" s="13" t="s">
        <v>8</v>
      </c>
      <c r="F10" s="13" t="s">
        <v>9</v>
      </c>
      <c r="G10" s="13" t="s">
        <v>10</v>
      </c>
      <c r="H10" s="13" t="s">
        <v>11</v>
      </c>
    </row>
    <row r="11" spans="2:8" ht="23.4" thickBot="1" x14ac:dyDescent="0.35">
      <c r="B11" s="11"/>
      <c r="C11" s="14" t="s">
        <v>12</v>
      </c>
      <c r="D11" s="15">
        <v>0.6</v>
      </c>
      <c r="E11" s="16" t="s">
        <v>13</v>
      </c>
      <c r="F11" s="17">
        <v>1220000</v>
      </c>
      <c r="G11" s="18">
        <f>+D11+D12</f>
        <v>0.77800000000000002</v>
      </c>
      <c r="H11" s="19">
        <f>+G11*F11</f>
        <v>949160</v>
      </c>
    </row>
    <row r="12" spans="2:8" ht="15" thickBot="1" x14ac:dyDescent="0.35">
      <c r="B12" s="20"/>
      <c r="C12" s="14" t="s">
        <v>14</v>
      </c>
      <c r="D12" s="21">
        <v>0.17799999999999999</v>
      </c>
      <c r="E12" s="22"/>
      <c r="F12" s="23"/>
      <c r="G12" s="24"/>
      <c r="H12" s="25"/>
    </row>
    <row r="13" spans="2:8" ht="26.4" customHeight="1" thickBot="1" x14ac:dyDescent="0.35">
      <c r="B13" s="6" t="s">
        <v>17</v>
      </c>
      <c r="C13" s="7" t="s">
        <v>4</v>
      </c>
      <c r="D13" s="8" t="s">
        <v>18</v>
      </c>
      <c r="E13" s="9"/>
      <c r="F13" s="9"/>
      <c r="G13" s="9"/>
      <c r="H13" s="10"/>
    </row>
    <row r="14" spans="2:8" ht="23.4" thickBot="1" x14ac:dyDescent="0.35">
      <c r="B14" s="11"/>
      <c r="C14" s="12" t="s">
        <v>6</v>
      </c>
      <c r="D14" s="13" t="s">
        <v>7</v>
      </c>
      <c r="E14" s="13" t="s">
        <v>8</v>
      </c>
      <c r="F14" s="13" t="s">
        <v>9</v>
      </c>
      <c r="G14" s="13" t="s">
        <v>10</v>
      </c>
      <c r="H14" s="13" t="s">
        <v>11</v>
      </c>
    </row>
    <row r="15" spans="2:8" ht="23.4" thickBot="1" x14ac:dyDescent="0.35">
      <c r="B15" s="11"/>
      <c r="C15" s="14" t="s">
        <v>12</v>
      </c>
      <c r="D15" s="15">
        <v>0.6</v>
      </c>
      <c r="E15" s="16" t="s">
        <v>13</v>
      </c>
      <c r="F15" s="17">
        <v>114750</v>
      </c>
      <c r="G15" s="18">
        <f>+D15+D16</f>
        <v>0.78499999999999992</v>
      </c>
      <c r="H15" s="19">
        <f>+G15*F15</f>
        <v>90078.749999999985</v>
      </c>
    </row>
    <row r="16" spans="2:8" ht="15" thickBot="1" x14ac:dyDescent="0.35">
      <c r="B16" s="11"/>
      <c r="C16" s="14" t="s">
        <v>14</v>
      </c>
      <c r="D16" s="21">
        <v>0.185</v>
      </c>
      <c r="E16" s="22"/>
      <c r="F16" s="23"/>
      <c r="G16" s="24"/>
      <c r="H16" s="25"/>
    </row>
    <row r="17" spans="2:8" ht="24.6" customHeight="1" thickBot="1" x14ac:dyDescent="0.35">
      <c r="B17" s="26" t="s">
        <v>19</v>
      </c>
      <c r="C17" s="7" t="s">
        <v>4</v>
      </c>
      <c r="D17" s="8" t="s">
        <v>20</v>
      </c>
      <c r="E17" s="9"/>
      <c r="F17" s="9"/>
      <c r="G17" s="9"/>
      <c r="H17" s="10"/>
    </row>
    <row r="18" spans="2:8" ht="23.4" thickBot="1" x14ac:dyDescent="0.35">
      <c r="B18" s="27"/>
      <c r="C18" s="12" t="s">
        <v>6</v>
      </c>
      <c r="D18" s="13" t="s">
        <v>7</v>
      </c>
      <c r="E18" s="28" t="s">
        <v>8</v>
      </c>
      <c r="F18" s="13" t="s">
        <v>9</v>
      </c>
      <c r="G18" s="13" t="s">
        <v>10</v>
      </c>
      <c r="H18" s="13" t="s">
        <v>11</v>
      </c>
    </row>
    <row r="19" spans="2:8" ht="23.4" thickBot="1" x14ac:dyDescent="0.35">
      <c r="B19" s="27"/>
      <c r="C19" s="14" t="s">
        <v>12</v>
      </c>
      <c r="D19" s="29">
        <v>0.6</v>
      </c>
      <c r="E19" s="30" t="s">
        <v>13</v>
      </c>
      <c r="F19" s="31">
        <v>1100000</v>
      </c>
      <c r="G19" s="18">
        <f>+D19+D20</f>
        <v>0.82</v>
      </c>
      <c r="H19" s="19">
        <f>+G19*F19</f>
        <v>902000</v>
      </c>
    </row>
    <row r="20" spans="2:8" ht="23.4" thickBot="1" x14ac:dyDescent="0.35">
      <c r="B20" s="27"/>
      <c r="C20" s="14" t="s">
        <v>21</v>
      </c>
      <c r="D20" s="32">
        <v>0.22</v>
      </c>
      <c r="E20" s="33"/>
      <c r="F20" s="34"/>
      <c r="G20" s="35"/>
      <c r="H20" s="25"/>
    </row>
    <row r="21" spans="2:8" ht="23.4" thickBot="1" x14ac:dyDescent="0.35">
      <c r="B21" s="36"/>
      <c r="C21" s="37" t="s">
        <v>22</v>
      </c>
      <c r="D21" s="38">
        <v>0.25</v>
      </c>
      <c r="E21" s="39" t="s">
        <v>13</v>
      </c>
      <c r="F21" s="40"/>
      <c r="G21" s="41">
        <f>+D19+D21</f>
        <v>0.85</v>
      </c>
      <c r="H21" s="42"/>
    </row>
    <row r="22" spans="2:8" ht="24.6" thickBot="1" x14ac:dyDescent="0.35">
      <c r="B22" s="43" t="s">
        <v>23</v>
      </c>
      <c r="C22" s="7" t="s">
        <v>4</v>
      </c>
      <c r="D22" s="44" t="s">
        <v>24</v>
      </c>
      <c r="E22" s="45"/>
      <c r="F22" s="9"/>
      <c r="G22" s="45"/>
      <c r="H22" s="10"/>
    </row>
    <row r="23" spans="2:8" ht="23.4" thickBot="1" x14ac:dyDescent="0.35">
      <c r="B23" s="43" t="s">
        <v>25</v>
      </c>
      <c r="C23" s="12" t="s">
        <v>6</v>
      </c>
      <c r="D23" s="13" t="s">
        <v>7</v>
      </c>
      <c r="E23" s="13" t="s">
        <v>8</v>
      </c>
      <c r="F23" s="13" t="s">
        <v>9</v>
      </c>
      <c r="G23" s="13" t="s">
        <v>10</v>
      </c>
      <c r="H23" s="13" t="s">
        <v>11</v>
      </c>
    </row>
    <row r="24" spans="2:8" ht="23.4" thickBot="1" x14ac:dyDescent="0.35">
      <c r="B24" s="46"/>
      <c r="C24" s="14" t="s">
        <v>12</v>
      </c>
      <c r="D24" s="15">
        <v>0.6</v>
      </c>
      <c r="E24" s="16" t="s">
        <v>13</v>
      </c>
      <c r="F24" s="17">
        <v>2288660</v>
      </c>
      <c r="G24" s="18">
        <f>+D24+D25</f>
        <v>0.66300000000000003</v>
      </c>
      <c r="H24" s="19">
        <f>+G24*F24</f>
        <v>1517381.58</v>
      </c>
    </row>
    <row r="25" spans="2:8" ht="15" thickBot="1" x14ac:dyDescent="0.35">
      <c r="B25" s="47"/>
      <c r="C25" s="14" t="s">
        <v>14</v>
      </c>
      <c r="D25" s="21">
        <v>6.3E-2</v>
      </c>
      <c r="E25" s="22"/>
      <c r="F25" s="23"/>
      <c r="G25" s="24"/>
      <c r="H25" s="25"/>
    </row>
    <row r="26" spans="2:8" ht="15" thickBot="1" x14ac:dyDescent="0.35">
      <c r="B26" s="6" t="s">
        <v>26</v>
      </c>
      <c r="C26" s="48" t="s">
        <v>27</v>
      </c>
      <c r="D26" s="8" t="s">
        <v>28</v>
      </c>
      <c r="E26" s="9"/>
      <c r="F26" s="9"/>
      <c r="G26" s="9"/>
      <c r="H26" s="10"/>
    </row>
    <row r="27" spans="2:8" ht="23.4" thickBot="1" x14ac:dyDescent="0.35">
      <c r="B27" s="11"/>
      <c r="C27" s="49"/>
      <c r="D27" s="13" t="s">
        <v>7</v>
      </c>
      <c r="E27" s="13" t="s">
        <v>8</v>
      </c>
      <c r="F27" s="13" t="s">
        <v>9</v>
      </c>
      <c r="G27" s="13" t="s">
        <v>10</v>
      </c>
      <c r="H27" s="13" t="s">
        <v>11</v>
      </c>
    </row>
    <row r="28" spans="2:8" ht="23.4" thickBot="1" x14ac:dyDescent="0.35">
      <c r="B28" s="11"/>
      <c r="C28" s="14" t="s">
        <v>12</v>
      </c>
      <c r="D28" s="50">
        <v>0.6</v>
      </c>
      <c r="E28" s="51" t="s">
        <v>13</v>
      </c>
      <c r="F28" s="52">
        <v>35000</v>
      </c>
      <c r="G28" s="53">
        <v>0.77</v>
      </c>
      <c r="H28" s="54">
        <f>+G28*F28</f>
        <v>26950</v>
      </c>
    </row>
    <row r="29" spans="2:8" ht="15" thickBot="1" x14ac:dyDescent="0.35">
      <c r="B29" s="20"/>
      <c r="C29" s="14" t="s">
        <v>29</v>
      </c>
      <c r="D29" s="55">
        <v>0.17</v>
      </c>
      <c r="E29" s="56"/>
      <c r="F29" s="57"/>
      <c r="G29" s="58"/>
      <c r="H29" s="59"/>
    </row>
    <row r="30" spans="2:8" ht="15" thickBot="1" x14ac:dyDescent="0.35">
      <c r="B30" s="60" t="s">
        <v>30</v>
      </c>
      <c r="C30" s="60"/>
      <c r="D30" s="60"/>
      <c r="E30" s="60"/>
      <c r="F30" s="60"/>
      <c r="G30" s="61"/>
      <c r="H30" s="62">
        <f>+H7+H11+H15+H19+H24+H28</f>
        <v>3688620.33</v>
      </c>
    </row>
  </sheetData>
  <mergeCells count="38">
    <mergeCell ref="G28:G29"/>
    <mergeCell ref="H28:H29"/>
    <mergeCell ref="B30:G30"/>
    <mergeCell ref="D22:H22"/>
    <mergeCell ref="E24:E25"/>
    <mergeCell ref="F24:F25"/>
    <mergeCell ref="G24:G25"/>
    <mergeCell ref="H24:H25"/>
    <mergeCell ref="B26:B29"/>
    <mergeCell ref="C26:C27"/>
    <mergeCell ref="D26:H26"/>
    <mergeCell ref="E28:E29"/>
    <mergeCell ref="F28:F29"/>
    <mergeCell ref="B17:B21"/>
    <mergeCell ref="D17:H17"/>
    <mergeCell ref="E19:E20"/>
    <mergeCell ref="F19:F20"/>
    <mergeCell ref="G19:G20"/>
    <mergeCell ref="H19:H20"/>
    <mergeCell ref="B13:B16"/>
    <mergeCell ref="D13:H13"/>
    <mergeCell ref="E15:E16"/>
    <mergeCell ref="F15:F16"/>
    <mergeCell ref="G15:G16"/>
    <mergeCell ref="H15:H16"/>
    <mergeCell ref="B9:B12"/>
    <mergeCell ref="D9:H9"/>
    <mergeCell ref="E11:E12"/>
    <mergeCell ref="F11:F12"/>
    <mergeCell ref="G11:G12"/>
    <mergeCell ref="H11:H12"/>
    <mergeCell ref="D4:H4"/>
    <mergeCell ref="B5:B8"/>
    <mergeCell ref="D5:H5"/>
    <mergeCell ref="E7:E8"/>
    <mergeCell ref="F7:F8"/>
    <mergeCell ref="G7:G8"/>
    <mergeCell ref="H7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elenco prezzi Ferroberica Colle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Di Paola</dc:creator>
  <cp:lastModifiedBy>Antonino Di Paola</cp:lastModifiedBy>
  <dcterms:created xsi:type="dcterms:W3CDTF">2026-03-19T15:13:46Z</dcterms:created>
  <dcterms:modified xsi:type="dcterms:W3CDTF">2026-03-19T15:14:07Z</dcterms:modified>
</cp:coreProperties>
</file>